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ob\Documents\MS_Excel\"/>
    </mc:Choice>
  </mc:AlternateContent>
  <xr:revisionPtr revIDLastSave="0" documentId="13_ncr:1_{F719490A-C8A5-44C1-B934-15C7546781E1}" xr6:coauthVersionLast="47" xr6:coauthVersionMax="47" xr10:uidLastSave="{00000000-0000-0000-0000-000000000000}"/>
  <bookViews>
    <workbookView xWindow="38280" yWindow="-120" windowWidth="38640" windowHeight="21120" tabRatio="610" activeTab="3" xr2:uid="{41B57FE3-EC41-492F-BF75-06E38042B940}"/>
  </bookViews>
  <sheets>
    <sheet name="socsec@65+annuity" sheetId="2" r:id="rId1"/>
    <sheet name="using 4.X% rule" sheetId="5" r:id="rId2"/>
    <sheet name="401K" sheetId="3" r:id="rId3"/>
    <sheet name="Guyton-Klinger_mkt_based_incrs" sheetId="11" r:id="rId4"/>
    <sheet name="RMD" sheetId="8" r:id="rId5"/>
    <sheet name="Annuity" sheetId="9" r:id="rId6"/>
    <sheet name="Std and Retire Deductions" sheetId="10" r:id="rId7"/>
    <sheet name="Tax Brackets" sheetId="13" r:id="rId8"/>
    <sheet name="taxes calcs" sheetId="12" r:id="rId9"/>
    <sheet name="guardrail_old" sheetId="7" r:id="rId10"/>
  </sheets>
  <definedNames>
    <definedName name="_xleta.IF" hidden="1" xlm="1">#NAME?</definedName>
    <definedName name="_xleta.PI" hidden="1" xlm="1">#NAME?</definedName>
    <definedName name="_xleta.T" hidden="1" xlm="1">#NAME?</definedName>
    <definedName name="Counter">IF(NOW(), Counter+1, Counter)</definedName>
    <definedName name="curr_annuity_base">Annuity!$R$42</definedName>
    <definedName name="CURRENT_401K">'401K'!$JJ$6</definedName>
    <definedName name="end_portfolio_adjusted_for_inflation">'Guyton-Klinger_mkt_based_incrs'!$AN$33</definedName>
    <definedName name="force_recalc" localSheetId="3">'Guyton-Klinger_mkt_based_incrs'!$AG$27</definedName>
    <definedName name="force_recalc">guardrail_old!$AG$27</definedName>
    <definedName name="guarantee_annuity">Annuity!$S$45</definedName>
    <definedName name="guardrail_movement_pct" localSheetId="3">'Guyton-Klinger_mkt_based_incrs'!$AG$5</definedName>
    <definedName name="healthcare_per_year" localSheetId="1">'using 4.X% rule'!$L$44</definedName>
    <definedName name="healthcare_per_year">'socsec@65+annuity'!$K$45</definedName>
    <definedName name="lower_guardrail">'Guyton-Klinger_mkt_based_incrs'!$AG$7</definedName>
    <definedName name="nationwide">'401K'!$S$16</definedName>
    <definedName name="num_years_below_portfolio_min" localSheetId="9">guardrail_old!$AL$42</definedName>
    <definedName name="num_years_below_portfolio_min" localSheetId="3">'Guyton-Klinger_mkt_based_incrs'!$AL$42</definedName>
    <definedName name="orig_base">Annuity!$R$41</definedName>
    <definedName name="portfolio_min" localSheetId="3">'Guyton-Klinger_mkt_based_incrs'!$AG$39</definedName>
    <definedName name="portfolio_min">guardrail_old!$Y$48</definedName>
    <definedName name="portfolio_warning_adjusted_for_inflation" localSheetId="3">'Guyton-Klinger_mkt_based_incrs'!$AJ$34</definedName>
    <definedName name="portfolio_warning_adjusted_for_inflation">guardrail_old!$AJ$34</definedName>
    <definedName name="prev_april_3" localSheetId="2">'401K'!$BR$6</definedName>
    <definedName name="sum_of_ending_portfolio_amts">'Guyton-Klinger_mkt_based_incrs'!$AL$63</definedName>
    <definedName name="tax_per_year" localSheetId="1">'using 4.X% rule'!$L$45</definedName>
    <definedName name="tax_per_year">'socsec@65+annuity'!$K$46</definedName>
    <definedName name="the_dip_1">'401K'!$BU$6</definedName>
    <definedName name="trump_inaugerated">'401K'!$S$6</definedName>
    <definedName name="upper_guardrail">'Guyton-Klinger_mkt_based_incrs'!$AG$8</definedName>
    <definedName name="withdrawal_adjust_pct">'Guyton-Klinger_mkt_based_incrs'!$AG$6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7" i="11" l="1"/>
  <c r="JM14" i="3"/>
  <c r="JM6" i="3"/>
  <c r="AG8" i="11"/>
  <c r="AG7" i="11"/>
  <c r="G12" i="5"/>
  <c r="H12" i="5"/>
  <c r="S55" i="5"/>
  <c r="S54" i="5"/>
  <c r="L55" i="5"/>
  <c r="H10" i="5"/>
  <c r="G10" i="5"/>
  <c r="P56" i="12"/>
  <c r="JL14" i="3"/>
  <c r="JL6" i="3"/>
  <c r="R45" i="9"/>
  <c r="R44" i="9"/>
  <c r="R43" i="9"/>
  <c r="S42" i="9"/>
  <c r="JK14" i="3"/>
  <c r="JK6" i="3"/>
  <c r="JJ14" i="3"/>
  <c r="JJ6" i="3"/>
  <c r="JI14" i="3"/>
  <c r="JI6" i="3"/>
  <c r="V50" i="12"/>
  <c r="AH60" i="12"/>
  <c r="AG55" i="12"/>
  <c r="AG27" i="7"/>
  <c r="JH14" i="3"/>
  <c r="JH6" i="3"/>
  <c r="JG14" i="3"/>
  <c r="JG6" i="3"/>
  <c r="JF14" i="3"/>
  <c r="JF6" i="3"/>
  <c r="W34" i="12"/>
  <c r="W37" i="12" s="1"/>
  <c r="P65" i="12"/>
  <c r="Q65" i="12" s="1"/>
  <c r="P67" i="12"/>
  <c r="Q67" i="12" s="1"/>
  <c r="P66" i="12"/>
  <c r="P70" i="12"/>
  <c r="Q70" i="12" s="1"/>
  <c r="P69" i="12"/>
  <c r="Q69" i="12" s="1"/>
  <c r="JE14" i="3"/>
  <c r="JE6" i="3"/>
  <c r="U34" i="12"/>
  <c r="U37" i="12" s="1"/>
  <c r="B63" i="5"/>
  <c r="JD14" i="3"/>
  <c r="JD6" i="3"/>
  <c r="JC14" i="3"/>
  <c r="JC6" i="3"/>
  <c r="JB14" i="3"/>
  <c r="JB6" i="3"/>
  <c r="JA14" i="3"/>
  <c r="JA6" i="3"/>
  <c r="IZ14" i="3"/>
  <c r="IZ6" i="3"/>
  <c r="U43" i="13"/>
  <c r="U42" i="13"/>
  <c r="U41" i="13"/>
  <c r="U40" i="13"/>
  <c r="U39" i="13"/>
  <c r="U38" i="13"/>
  <c r="H38" i="13"/>
  <c r="H43" i="13"/>
  <c r="H42" i="13"/>
  <c r="H41" i="13"/>
  <c r="H40" i="13"/>
  <c r="H39" i="13"/>
  <c r="S35" i="12"/>
  <c r="T35" i="12" s="1"/>
  <c r="V47" i="12"/>
  <c r="IY14" i="3"/>
  <c r="IY6" i="3"/>
  <c r="S34" i="12"/>
  <c r="U35" i="12" s="1"/>
  <c r="V35" i="12" s="1"/>
  <c r="AE53" i="12"/>
  <c r="AF53" i="12" s="1"/>
  <c r="AE52" i="12"/>
  <c r="AF52" i="12" s="1"/>
  <c r="AE51" i="12"/>
  <c r="AF51" i="12" s="1"/>
  <c r="IX14" i="3"/>
  <c r="IX6" i="3"/>
  <c r="AD3" i="12"/>
  <c r="AD4" i="12" s="1"/>
  <c r="AD5" i="12" s="1"/>
  <c r="AD6" i="12" s="1"/>
  <c r="AD7" i="12" s="1"/>
  <c r="AD8" i="12" s="1"/>
  <c r="AD9" i="12" s="1"/>
  <c r="AM3" i="2"/>
  <c r="IW6" i="3"/>
  <c r="IW14" i="3"/>
  <c r="V36" i="12"/>
  <c r="AP3" i="5"/>
  <c r="Y41" i="9"/>
  <c r="IV14" i="3"/>
  <c r="IV6" i="3"/>
  <c r="IU14" i="3"/>
  <c r="IU6" i="3"/>
  <c r="IT6" i="3"/>
  <c r="AJ3" i="2"/>
  <c r="IT14" i="3"/>
  <c r="P47" i="12"/>
  <c r="IS14" i="3"/>
  <c r="IS6" i="3"/>
  <c r="IR6" i="3"/>
  <c r="IR14" i="3"/>
  <c r="IQ14" i="3"/>
  <c r="IQ6" i="3"/>
  <c r="T36" i="12"/>
  <c r="U6" i="12"/>
  <c r="IO30" i="3"/>
  <c r="IP14" i="3"/>
  <c r="IP6" i="3"/>
  <c r="IO14" i="3"/>
  <c r="IO6" i="3"/>
  <c r="IN14" i="3"/>
  <c r="IN6" i="3"/>
  <c r="O58" i="2"/>
  <c r="O56" i="2"/>
  <c r="O55" i="2"/>
  <c r="P56" i="5"/>
  <c r="IM14" i="3"/>
  <c r="IM6" i="3"/>
  <c r="IL14" i="3"/>
  <c r="IL6" i="3"/>
  <c r="IE6" i="3"/>
  <c r="IK14" i="3"/>
  <c r="IK6" i="3"/>
  <c r="IJ14" i="3"/>
  <c r="IJ6" i="3"/>
  <c r="II14" i="3"/>
  <c r="II6" i="3"/>
  <c r="IH14" i="3"/>
  <c r="IH6" i="3"/>
  <c r="IG14" i="3"/>
  <c r="IG6" i="3"/>
  <c r="IF14" i="3"/>
  <c r="IF6" i="3"/>
  <c r="IE14" i="3"/>
  <c r="ID14" i="3"/>
  <c r="ID6" i="3"/>
  <c r="IC14" i="3"/>
  <c r="IC6" i="3"/>
  <c r="IB14" i="3"/>
  <c r="IB6" i="3"/>
  <c r="IA14" i="3"/>
  <c r="IA6" i="3"/>
  <c r="HZ14" i="3"/>
  <c r="HZ6" i="3"/>
  <c r="HY6" i="3"/>
  <c r="H10" i="2"/>
  <c r="HY14" i="3"/>
  <c r="HV6" i="3"/>
  <c r="HX14" i="3"/>
  <c r="HX6" i="3"/>
  <c r="AC14" i="3"/>
  <c r="AB14" i="3"/>
  <c r="AA14" i="3"/>
  <c r="Z14" i="3"/>
  <c r="Y14" i="3"/>
  <c r="X14" i="3"/>
  <c r="W14" i="3"/>
  <c r="V14" i="3"/>
  <c r="U14" i="3"/>
  <c r="T14" i="3"/>
  <c r="HW14" i="3"/>
  <c r="HW6" i="3"/>
  <c r="HV14" i="3"/>
  <c r="G9" i="5"/>
  <c r="HU14" i="3"/>
  <c r="HU6" i="3"/>
  <c r="HT6" i="3"/>
  <c r="HT14" i="3"/>
  <c r="HS14" i="3"/>
  <c r="HS6" i="3"/>
  <c r="HR14" i="3"/>
  <c r="HR6" i="3"/>
  <c r="HQ14" i="3"/>
  <c r="HQ6" i="3"/>
  <c r="HP14" i="3"/>
  <c r="HP6" i="3"/>
  <c r="HO14" i="3"/>
  <c r="HO6" i="3"/>
  <c r="HN14" i="3"/>
  <c r="HN6" i="3"/>
  <c r="EP6" i="3"/>
  <c r="HM14" i="3"/>
  <c r="HM6" i="3"/>
  <c r="HL14" i="3"/>
  <c r="HL6" i="3"/>
  <c r="O3" i="5"/>
  <c r="HK14" i="3"/>
  <c r="HK6" i="3"/>
  <c r="HJ14" i="3"/>
  <c r="HJ6" i="3"/>
  <c r="HI14" i="3"/>
  <c r="HI6" i="3"/>
  <c r="HH14" i="3"/>
  <c r="HH6" i="3"/>
  <c r="HG14" i="3"/>
  <c r="HG6" i="3"/>
  <c r="HF14" i="3"/>
  <c r="HF6" i="3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T8" i="12"/>
  <c r="T7" i="12"/>
  <c r="T6" i="12"/>
  <c r="T5" i="12"/>
  <c r="T4" i="12"/>
  <c r="T3" i="12"/>
  <c r="T2" i="12"/>
  <c r="T26" i="12"/>
  <c r="T25" i="12"/>
  <c r="U2" i="12"/>
  <c r="AD3" i="5"/>
  <c r="U26" i="12"/>
  <c r="U25" i="12"/>
  <c r="U24" i="12"/>
  <c r="U23" i="12"/>
  <c r="U22" i="12"/>
  <c r="U21" i="12"/>
  <c r="U20" i="12"/>
  <c r="U19" i="12"/>
  <c r="U18" i="12"/>
  <c r="U16" i="12"/>
  <c r="U15" i="12"/>
  <c r="U14" i="12"/>
  <c r="U9" i="12"/>
  <c r="U8" i="12"/>
  <c r="U7" i="12"/>
  <c r="U4" i="12"/>
  <c r="U3" i="12"/>
  <c r="B157" i="12"/>
  <c r="B164" i="12" s="1"/>
  <c r="B171" i="12" s="1"/>
  <c r="B178" i="12" s="1"/>
  <c r="B156" i="12"/>
  <c r="B163" i="12" s="1"/>
  <c r="B170" i="12" s="1"/>
  <c r="B177" i="12" s="1"/>
  <c r="B155" i="12"/>
  <c r="B162" i="12" s="1"/>
  <c r="B169" i="12" s="1"/>
  <c r="B176" i="12" s="1"/>
  <c r="B154" i="12"/>
  <c r="B161" i="12" s="1"/>
  <c r="B168" i="12" s="1"/>
  <c r="B175" i="12" s="1"/>
  <c r="B153" i="12"/>
  <c r="B160" i="12" s="1"/>
  <c r="B167" i="12" s="1"/>
  <c r="B174" i="12" s="1"/>
  <c r="B152" i="12"/>
  <c r="B159" i="12" s="1"/>
  <c r="B166" i="12" s="1"/>
  <c r="B173" i="12" s="1"/>
  <c r="B151" i="12"/>
  <c r="B158" i="12" s="1"/>
  <c r="B165" i="12" s="1"/>
  <c r="B172" i="12" s="1"/>
  <c r="B122" i="12"/>
  <c r="B129" i="12" s="1"/>
  <c r="B136" i="12" s="1"/>
  <c r="B143" i="12" s="1"/>
  <c r="B121" i="12"/>
  <c r="B128" i="12" s="1"/>
  <c r="B135" i="12" s="1"/>
  <c r="B142" i="12" s="1"/>
  <c r="B120" i="12"/>
  <c r="B127" i="12" s="1"/>
  <c r="B134" i="12" s="1"/>
  <c r="B141" i="12" s="1"/>
  <c r="B119" i="12"/>
  <c r="B126" i="12" s="1"/>
  <c r="B133" i="12" s="1"/>
  <c r="B140" i="12" s="1"/>
  <c r="B118" i="12"/>
  <c r="B125" i="12" s="1"/>
  <c r="B132" i="12" s="1"/>
  <c r="B139" i="12" s="1"/>
  <c r="B117" i="12"/>
  <c r="B124" i="12" s="1"/>
  <c r="B131" i="12" s="1"/>
  <c r="B138" i="12" s="1"/>
  <c r="B116" i="12"/>
  <c r="B123" i="12" s="1"/>
  <c r="B130" i="12" s="1"/>
  <c r="B137" i="12" s="1"/>
  <c r="B87" i="12"/>
  <c r="B94" i="12" s="1"/>
  <c r="B101" i="12" s="1"/>
  <c r="B108" i="12" s="1"/>
  <c r="B86" i="12"/>
  <c r="B93" i="12" s="1"/>
  <c r="B100" i="12" s="1"/>
  <c r="B107" i="12" s="1"/>
  <c r="B85" i="12"/>
  <c r="B92" i="12" s="1"/>
  <c r="B99" i="12" s="1"/>
  <c r="B106" i="12" s="1"/>
  <c r="B84" i="12"/>
  <c r="B91" i="12" s="1"/>
  <c r="B98" i="12" s="1"/>
  <c r="B105" i="12" s="1"/>
  <c r="B83" i="12"/>
  <c r="B90" i="12" s="1"/>
  <c r="B97" i="12" s="1"/>
  <c r="B104" i="12" s="1"/>
  <c r="B82" i="12"/>
  <c r="B89" i="12" s="1"/>
  <c r="B96" i="12" s="1"/>
  <c r="B103" i="12" s="1"/>
  <c r="B81" i="12"/>
  <c r="B88" i="12" s="1"/>
  <c r="B95" i="12" s="1"/>
  <c r="B102" i="12" s="1"/>
  <c r="B48" i="12"/>
  <c r="B55" i="12" s="1"/>
  <c r="B65" i="12" s="1"/>
  <c r="B73" i="12" s="1"/>
  <c r="B47" i="12"/>
  <c r="B54" i="12" s="1"/>
  <c r="B64" i="12" s="1"/>
  <c r="B72" i="12" s="1"/>
  <c r="B46" i="12"/>
  <c r="B53" i="12" s="1"/>
  <c r="B63" i="12" s="1"/>
  <c r="B71" i="12" s="1"/>
  <c r="B45" i="12"/>
  <c r="B52" i="12" s="1"/>
  <c r="B70" i="12" s="1"/>
  <c r="B44" i="12"/>
  <c r="B51" i="12" s="1"/>
  <c r="B69" i="12" s="1"/>
  <c r="B43" i="12"/>
  <c r="B50" i="12" s="1"/>
  <c r="B68" i="12" s="1"/>
  <c r="B42" i="12"/>
  <c r="B49" i="12" s="1"/>
  <c r="B67" i="12" s="1"/>
  <c r="B15" i="12"/>
  <c r="B22" i="12" s="1"/>
  <c r="B29" i="12" s="1"/>
  <c r="B34" i="12" s="1"/>
  <c r="B14" i="12"/>
  <c r="B21" i="12" s="1"/>
  <c r="B28" i="12" s="1"/>
  <c r="B33" i="12" s="1"/>
  <c r="B13" i="12"/>
  <c r="B20" i="12" s="1"/>
  <c r="B27" i="12" s="1"/>
  <c r="B32" i="12" s="1"/>
  <c r="B12" i="12"/>
  <c r="B19" i="12" s="1"/>
  <c r="B26" i="12" s="1"/>
  <c r="B31" i="12" s="1"/>
  <c r="B11" i="12"/>
  <c r="B18" i="12" s="1"/>
  <c r="B25" i="12" s="1"/>
  <c r="B30" i="12" s="1"/>
  <c r="B10" i="12"/>
  <c r="B17" i="12" s="1"/>
  <c r="B24" i="12" s="1"/>
  <c r="B9" i="12"/>
  <c r="B16" i="12" s="1"/>
  <c r="B23" i="12" s="1"/>
  <c r="D3" i="12"/>
  <c r="D4" i="12" s="1"/>
  <c r="D5" i="12" s="1"/>
  <c r="D6" i="12" s="1"/>
  <c r="D7" i="12" s="1"/>
  <c r="D8" i="12" s="1"/>
  <c r="D9" i="12" s="1"/>
  <c r="HE14" i="3"/>
  <c r="HE6" i="3"/>
  <c r="HD14" i="3"/>
  <c r="HD6" i="3"/>
  <c r="AD3" i="2"/>
  <c r="HC14" i="3"/>
  <c r="HC6" i="3"/>
  <c r="HB14" i="3"/>
  <c r="HB6" i="3"/>
  <c r="HA14" i="3"/>
  <c r="HA6" i="3"/>
  <c r="GZ14" i="3"/>
  <c r="GZ6" i="3"/>
  <c r="GY14" i="3"/>
  <c r="GY6" i="3"/>
  <c r="GX14" i="3"/>
  <c r="GX6" i="3"/>
  <c r="GW14" i="3"/>
  <c r="GW6" i="3"/>
  <c r="GV6" i="3"/>
  <c r="GV14" i="3"/>
  <c r="GU14" i="3"/>
  <c r="GU6" i="3"/>
  <c r="GT14" i="3"/>
  <c r="GT6" i="3"/>
  <c r="GS14" i="3"/>
  <c r="GS6" i="3"/>
  <c r="GR14" i="3"/>
  <c r="GR6" i="3"/>
  <c r="GQ14" i="3"/>
  <c r="GQ6" i="3"/>
  <c r="GP6" i="3"/>
  <c r="GP14" i="3"/>
  <c r="GO14" i="3"/>
  <c r="GO6" i="3"/>
  <c r="GN6" i="3"/>
  <c r="GN14" i="3"/>
  <c r="B4" i="11"/>
  <c r="B5" i="11" s="1"/>
  <c r="B6" i="11" s="1"/>
  <c r="B7" i="11" s="1"/>
  <c r="B8" i="11" s="1"/>
  <c r="B9" i="11" s="1"/>
  <c r="B10" i="11" s="1"/>
  <c r="B11" i="11" s="1"/>
  <c r="B12" i="11" s="1"/>
  <c r="A4" i="1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GM6" i="3"/>
  <c r="GM14" i="3"/>
  <c r="GL14" i="3"/>
  <c r="GL6" i="3"/>
  <c r="GK14" i="3"/>
  <c r="GK6" i="3"/>
  <c r="GJ14" i="3"/>
  <c r="GJ6" i="3"/>
  <c r="GI14" i="3"/>
  <c r="GI6" i="3"/>
  <c r="GH14" i="3"/>
  <c r="GH6" i="3"/>
  <c r="GG14" i="3"/>
  <c r="GG6" i="3"/>
  <c r="GF14" i="3"/>
  <c r="GF6" i="3"/>
  <c r="GE14" i="3"/>
  <c r="GE6" i="3"/>
  <c r="GD14" i="3"/>
  <c r="GD6" i="3"/>
  <c r="R3" i="2"/>
  <c r="GC14" i="3"/>
  <c r="GC6" i="3"/>
  <c r="GA14" i="3"/>
  <c r="FZ14" i="3"/>
  <c r="FY14" i="3"/>
  <c r="FX14" i="3"/>
  <c r="FW14" i="3"/>
  <c r="FV14" i="3"/>
  <c r="FU14" i="3"/>
  <c r="FT14" i="3"/>
  <c r="FS14" i="3"/>
  <c r="FR14" i="3"/>
  <c r="FQ14" i="3"/>
  <c r="FP14" i="3"/>
  <c r="FO14" i="3"/>
  <c r="FN14" i="3"/>
  <c r="FM14" i="3"/>
  <c r="FL14" i="3"/>
  <c r="FK14" i="3"/>
  <c r="FJ14" i="3"/>
  <c r="FI14" i="3"/>
  <c r="FH14" i="3"/>
  <c r="FG14" i="3"/>
  <c r="FF14" i="3"/>
  <c r="FE14" i="3"/>
  <c r="FD14" i="3"/>
  <c r="FC14" i="3"/>
  <c r="FB14" i="3"/>
  <c r="FA14" i="3"/>
  <c r="EZ14" i="3"/>
  <c r="EY14" i="3"/>
  <c r="EX14" i="3"/>
  <c r="EW14" i="3"/>
  <c r="EV14" i="3"/>
  <c r="EU14" i="3"/>
  <c r="ET14" i="3"/>
  <c r="ES14" i="3"/>
  <c r="ER14" i="3"/>
  <c r="EQ14" i="3"/>
  <c r="EP14" i="3"/>
  <c r="EO14" i="3"/>
  <c r="EN14" i="3"/>
  <c r="EM14" i="3"/>
  <c r="EL14" i="3"/>
  <c r="EK14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GB14" i="3"/>
  <c r="GB6" i="3"/>
  <c r="GA6" i="3"/>
  <c r="FZ6" i="3"/>
  <c r="FX6" i="3"/>
  <c r="FY6" i="3"/>
  <c r="FW6" i="3"/>
  <c r="FV6" i="3"/>
  <c r="FU6" i="3"/>
  <c r="FT6" i="3"/>
  <c r="FS6" i="3"/>
  <c r="FR6" i="3"/>
  <c r="FQ6" i="3"/>
  <c r="FP6" i="3"/>
  <c r="FN6" i="3"/>
  <c r="FO6" i="3"/>
  <c r="FM6" i="3"/>
  <c r="FL6" i="3"/>
  <c r="FK6" i="3"/>
  <c r="FJ6" i="3"/>
  <c r="FI6" i="3"/>
  <c r="FH6" i="3"/>
  <c r="FG6" i="3"/>
  <c r="FC6" i="3"/>
  <c r="FF6" i="3"/>
  <c r="FE6" i="3"/>
  <c r="FD6" i="3"/>
  <c r="AM3" i="5"/>
  <c r="FB6" i="3"/>
  <c r="FA6" i="3"/>
  <c r="EZ6" i="3"/>
  <c r="EY6" i="3"/>
  <c r="EX6" i="3"/>
  <c r="EW6" i="3"/>
  <c r="EV6" i="3"/>
  <c r="EU6" i="3"/>
  <c r="ET6" i="3"/>
  <c r="ER6" i="3"/>
  <c r="ES6" i="3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EQ6" i="3"/>
  <c r="P54" i="5"/>
  <c r="EO6" i="3"/>
  <c r="EN6" i="3"/>
  <c r="EM6" i="3"/>
  <c r="EL6" i="3"/>
  <c r="EK6" i="3"/>
  <c r="EJ6" i="3"/>
  <c r="S18" i="3"/>
  <c r="EI6" i="3"/>
  <c r="EH6" i="3"/>
  <c r="EG6" i="3"/>
  <c r="AJ3" i="5"/>
  <c r="EF6" i="3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EE6" i="3"/>
  <c r="ED6" i="3"/>
  <c r="EC6" i="3"/>
  <c r="EB6" i="3"/>
  <c r="EA6" i="3"/>
  <c r="DZ6" i="3"/>
  <c r="DY6" i="3"/>
  <c r="DX6" i="3"/>
  <c r="DW6" i="3"/>
  <c r="DV6" i="3"/>
  <c r="Q3" i="7"/>
  <c r="X3" i="7" s="1"/>
  <c r="DU6" i="3"/>
  <c r="DT6" i="3"/>
  <c r="AG6" i="7"/>
  <c r="AG12" i="7" s="1"/>
  <c r="AG5" i="7"/>
  <c r="AG13" i="7" s="1"/>
  <c r="A4" i="7"/>
  <c r="A5" i="7" s="1"/>
  <c r="A6" i="7" s="1"/>
  <c r="D3" i="7"/>
  <c r="E3" i="7" s="1"/>
  <c r="DS6" i="3"/>
  <c r="DR6" i="3"/>
  <c r="JM9" i="3" l="1"/>
  <c r="B64" i="5"/>
  <c r="J10" i="5"/>
  <c r="L10" i="5" s="1"/>
  <c r="AM10" i="5" s="1"/>
  <c r="AN10" i="5" s="1"/>
  <c r="K10" i="5"/>
  <c r="JL9" i="3"/>
  <c r="O57" i="2"/>
  <c r="JK9" i="3"/>
  <c r="S43" i="9"/>
  <c r="JJ9" i="3"/>
  <c r="JI9" i="3"/>
  <c r="V49" i="12"/>
  <c r="U49" i="12"/>
  <c r="JH9" i="3"/>
  <c r="JG9" i="3"/>
  <c r="S71" i="12"/>
  <c r="P73" i="12"/>
  <c r="JF9" i="3"/>
  <c r="AE54" i="12"/>
  <c r="AF54" i="12" s="1"/>
  <c r="AE47" i="12"/>
  <c r="AE49" i="12" s="1"/>
  <c r="AF49" i="12" s="1"/>
  <c r="O56" i="12"/>
  <c r="Q66" i="12"/>
  <c r="B13" i="11"/>
  <c r="B4" i="8"/>
  <c r="JE9" i="3"/>
  <c r="C3" i="11"/>
  <c r="JD9" i="3"/>
  <c r="JC9" i="3"/>
  <c r="JB9" i="3"/>
  <c r="JA9" i="3"/>
  <c r="IZ9" i="3"/>
  <c r="IX9" i="3"/>
  <c r="Y35" i="12"/>
  <c r="Z35" i="12" s="1"/>
  <c r="W35" i="12"/>
  <c r="X35" i="12" s="1"/>
  <c r="W36" i="12"/>
  <c r="X36" i="12" s="1"/>
  <c r="IY9" i="3"/>
  <c r="IW9" i="3"/>
  <c r="B3" i="8"/>
  <c r="IV9" i="3"/>
  <c r="IR9" i="3"/>
  <c r="IU9" i="3"/>
  <c r="IT9" i="3"/>
  <c r="IS9" i="3"/>
  <c r="E8" i="12"/>
  <c r="L50" i="5"/>
  <c r="IQ9" i="3"/>
  <c r="IN9" i="3"/>
  <c r="IH9" i="3"/>
  <c r="II9" i="3"/>
  <c r="IC9" i="3"/>
  <c r="IK9" i="3"/>
  <c r="IP9" i="3"/>
  <c r="IB9" i="3"/>
  <c r="IJ9" i="3"/>
  <c r="IO9" i="3"/>
  <c r="IF9" i="3"/>
  <c r="IL9" i="3"/>
  <c r="IM9" i="3"/>
  <c r="IG9" i="3"/>
  <c r="IE9" i="3"/>
  <c r="ID9" i="3"/>
  <c r="S37" i="12"/>
  <c r="IA9" i="3"/>
  <c r="HZ9" i="3"/>
  <c r="HY9" i="3"/>
  <c r="P55" i="5"/>
  <c r="HX9" i="3"/>
  <c r="EP9" i="3"/>
  <c r="EQ9" i="3"/>
  <c r="DY9" i="3"/>
  <c r="HA9" i="3"/>
  <c r="HO9" i="3"/>
  <c r="GG9" i="3"/>
  <c r="GU9" i="3"/>
  <c r="HC9" i="3"/>
  <c r="FF9" i="3"/>
  <c r="GO9" i="3"/>
  <c r="GW9" i="3"/>
  <c r="FV9" i="3"/>
  <c r="GY9" i="3"/>
  <c r="FG9" i="3"/>
  <c r="HJ9" i="3"/>
  <c r="FD9" i="3"/>
  <c r="HG9" i="3"/>
  <c r="HL9" i="3"/>
  <c r="GH9" i="3"/>
  <c r="HE9" i="3"/>
  <c r="EU9" i="3"/>
  <c r="FI9" i="3"/>
  <c r="HI9" i="3"/>
  <c r="FZ9" i="3"/>
  <c r="FO9" i="3"/>
  <c r="FS9" i="3"/>
  <c r="HR9" i="3"/>
  <c r="EI9" i="3"/>
  <c r="GD9" i="3"/>
  <c r="GL9" i="3"/>
  <c r="GR9" i="3"/>
  <c r="HP9" i="3"/>
  <c r="HB9" i="3"/>
  <c r="HQ9" i="3"/>
  <c r="DZ9" i="3"/>
  <c r="EN9" i="3"/>
  <c r="FT9" i="3"/>
  <c r="EE9" i="3"/>
  <c r="FU9" i="3"/>
  <c r="ES9" i="3"/>
  <c r="DU9" i="3"/>
  <c r="ET9" i="3"/>
  <c r="FH9" i="3"/>
  <c r="GJ9" i="3"/>
  <c r="EG9" i="3"/>
  <c r="DV9" i="3"/>
  <c r="EJ9" i="3"/>
  <c r="FX9" i="3"/>
  <c r="GK9" i="3"/>
  <c r="DX9" i="3"/>
  <c r="EL9" i="3"/>
  <c r="EX9" i="3"/>
  <c r="FL9" i="3"/>
  <c r="GA9" i="3"/>
  <c r="EY9" i="3"/>
  <c r="GB9" i="3"/>
  <c r="GF9" i="3"/>
  <c r="GT9" i="3"/>
  <c r="HF9" i="3"/>
  <c r="HK9" i="3"/>
  <c r="EO9" i="3"/>
  <c r="GM9" i="3"/>
  <c r="FP9" i="3"/>
  <c r="EC9" i="3"/>
  <c r="FQ9" i="3"/>
  <c r="EZ9" i="3"/>
  <c r="DS9" i="3"/>
  <c r="ED9" i="3"/>
  <c r="EF9" i="3"/>
  <c r="FR9" i="3"/>
  <c r="FE9" i="3"/>
  <c r="FA9" i="3"/>
  <c r="EM9" i="3"/>
  <c r="FM9" i="3"/>
  <c r="EH9" i="3"/>
  <c r="GN9" i="3"/>
  <c r="GV9" i="3"/>
  <c r="HD9" i="3"/>
  <c r="HH9" i="3"/>
  <c r="HM9" i="3"/>
  <c r="HS9" i="3"/>
  <c r="GS9" i="3"/>
  <c r="FB9" i="3"/>
  <c r="GI9" i="3"/>
  <c r="FN9" i="3"/>
  <c r="EB9" i="3"/>
  <c r="FC9" i="3"/>
  <c r="DT9" i="3"/>
  <c r="ER9" i="3"/>
  <c r="FW9" i="3"/>
  <c r="GE9" i="3"/>
  <c r="EA9" i="3"/>
  <c r="FY9" i="3"/>
  <c r="GX9" i="3"/>
  <c r="HN9" i="3"/>
  <c r="HT9" i="3"/>
  <c r="GC9" i="3"/>
  <c r="GP9" i="3"/>
  <c r="HV9" i="3"/>
  <c r="FJ9" i="3"/>
  <c r="GQ9" i="3"/>
  <c r="EV9" i="3"/>
  <c r="DW9" i="3"/>
  <c r="EK9" i="3"/>
  <c r="EW9" i="3"/>
  <c r="FK9" i="3"/>
  <c r="GZ9" i="3"/>
  <c r="HU9" i="3"/>
  <c r="HW9" i="3"/>
  <c r="W2" i="12"/>
  <c r="W3" i="12" s="1"/>
  <c r="W4" i="12" s="1"/>
  <c r="W5" i="12" s="1"/>
  <c r="W6" i="12" s="1"/>
  <c r="W7" i="12" s="1"/>
  <c r="W8" i="12" s="1"/>
  <c r="W9" i="12" s="1"/>
  <c r="W10" i="12" s="1"/>
  <c r="W11" i="12" s="1"/>
  <c r="W12" i="12" s="1"/>
  <c r="W13" i="12" s="1"/>
  <c r="W14" i="12" s="1"/>
  <c r="W15" i="12" s="1"/>
  <c r="W16" i="12" s="1"/>
  <c r="W17" i="12" s="1"/>
  <c r="W18" i="12" s="1"/>
  <c r="W19" i="12" s="1"/>
  <c r="W20" i="12" s="1"/>
  <c r="W21" i="12" s="1"/>
  <c r="W22" i="12" s="1"/>
  <c r="W23" i="12" s="1"/>
  <c r="W24" i="12" s="1"/>
  <c r="W25" i="12" s="1"/>
  <c r="W26" i="12" s="1"/>
  <c r="F3" i="7"/>
  <c r="D4" i="7" s="1"/>
  <c r="S19" i="3"/>
  <c r="K3" i="7"/>
  <c r="A7" i="7"/>
  <c r="Z3" i="7"/>
  <c r="J3" i="7"/>
  <c r="DQ6" i="3"/>
  <c r="AG3" i="2"/>
  <c r="N54" i="11" l="1"/>
  <c r="N53" i="11"/>
  <c r="N52" i="11"/>
  <c r="N51" i="11"/>
  <c r="N50" i="11"/>
  <c r="N49" i="11"/>
  <c r="N48" i="11"/>
  <c r="AD10" i="5"/>
  <c r="AE10" i="5" s="1"/>
  <c r="AP10" i="5"/>
  <c r="AQ10" i="5" s="1"/>
  <c r="AJ10" i="5"/>
  <c r="AK10" i="5" s="1"/>
  <c r="S44" i="9"/>
  <c r="W49" i="12"/>
  <c r="V52" i="12"/>
  <c r="R70" i="12"/>
  <c r="T52" i="12"/>
  <c r="AE50" i="12"/>
  <c r="AF50" i="12" s="1"/>
  <c r="AE48" i="12"/>
  <c r="B5" i="8"/>
  <c r="B14" i="11"/>
  <c r="D3" i="11"/>
  <c r="E3" i="11" s="1"/>
  <c r="F3" i="11" s="1"/>
  <c r="Q3" i="11"/>
  <c r="X3" i="11" s="1"/>
  <c r="X57" i="11"/>
  <c r="X60" i="11"/>
  <c r="X62" i="11"/>
  <c r="X59" i="11"/>
  <c r="X61" i="11"/>
  <c r="T37" i="12"/>
  <c r="T40" i="12" s="1"/>
  <c r="S40" i="12"/>
  <c r="DR9" i="3"/>
  <c r="G3" i="7"/>
  <c r="A8" i="7"/>
  <c r="S45" i="9" l="1"/>
  <c r="S56" i="5" s="1"/>
  <c r="AF48" i="12"/>
  <c r="AF55" i="12" s="1"/>
  <c r="AE55" i="12"/>
  <c r="B6" i="8"/>
  <c r="B15" i="11"/>
  <c r="Z3" i="11"/>
  <c r="J3" i="11"/>
  <c r="K3" i="11"/>
  <c r="G3" i="11"/>
  <c r="A9" i="7"/>
  <c r="B7" i="8" l="1"/>
  <c r="B16" i="11"/>
  <c r="A10" i="7"/>
  <c r="B8" i="8" l="1"/>
  <c r="B17" i="11"/>
  <c r="A11" i="7"/>
  <c r="B9" i="8" l="1"/>
  <c r="B18" i="11"/>
  <c r="A12" i="7"/>
  <c r="B10" i="8" l="1"/>
  <c r="B19" i="11"/>
  <c r="A13" i="7"/>
  <c r="B11" i="8" l="1"/>
  <c r="B20" i="11"/>
  <c r="A14" i="7"/>
  <c r="B12" i="8" l="1"/>
  <c r="B21" i="11"/>
  <c r="A15" i="7"/>
  <c r="B13" i="8" l="1"/>
  <c r="B22" i="11"/>
  <c r="A16" i="7"/>
  <c r="B14" i="8" l="1"/>
  <c r="B23" i="11"/>
  <c r="A17" i="7"/>
  <c r="B15" i="8" l="1"/>
  <c r="B24" i="11"/>
  <c r="A18" i="7"/>
  <c r="B16" i="8" l="1"/>
  <c r="B25" i="11"/>
  <c r="A19" i="7"/>
  <c r="B17" i="8" l="1"/>
  <c r="B26" i="11"/>
  <c r="A20" i="7"/>
  <c r="B18" i="8" l="1"/>
  <c r="B27" i="11"/>
  <c r="A21" i="7"/>
  <c r="B19" i="8" l="1"/>
  <c r="B28" i="11"/>
  <c r="A22" i="7"/>
  <c r="B20" i="8" l="1"/>
  <c r="B29" i="11"/>
  <c r="A23" i="7"/>
  <c r="B21" i="8" l="1"/>
  <c r="B30" i="11"/>
  <c r="A24" i="7"/>
  <c r="B22" i="8" l="1"/>
  <c r="B31" i="11"/>
  <c r="A25" i="7"/>
  <c r="B23" i="8" l="1"/>
  <c r="B32" i="11"/>
  <c r="A26" i="7"/>
  <c r="B24" i="8" l="1"/>
  <c r="B33" i="11"/>
  <c r="A27" i="7"/>
  <c r="B25" i="8" l="1"/>
  <c r="B34" i="11"/>
  <c r="A28" i="7"/>
  <c r="B26" i="8" l="1"/>
  <c r="B35" i="11"/>
  <c r="A29" i="7"/>
  <c r="B27" i="8" l="1"/>
  <c r="B36" i="11"/>
  <c r="A30" i="7"/>
  <c r="B28" i="8" l="1"/>
  <c r="B37" i="11"/>
  <c r="A31" i="7"/>
  <c r="B29" i="8" l="1"/>
  <c r="B38" i="11"/>
  <c r="A32" i="7"/>
  <c r="B30" i="8" l="1"/>
  <c r="B39" i="11"/>
  <c r="A33" i="7"/>
  <c r="B31" i="8" l="1"/>
  <c r="B40" i="11"/>
  <c r="B32" i="8" s="1"/>
  <c r="A34" i="7"/>
  <c r="A35" i="7" l="1"/>
  <c r="A36" i="7" l="1"/>
  <c r="A37" i="7" l="1"/>
  <c r="A38" i="7" l="1"/>
  <c r="A39" i="7" l="1"/>
  <c r="A40" i="7" l="1"/>
  <c r="DP6" i="3" l="1"/>
  <c r="DO6" i="3"/>
  <c r="DN6" i="3"/>
  <c r="AG3" i="5"/>
  <c r="AG10" i="5" s="1"/>
  <c r="AH10" i="5" s="1"/>
  <c r="DM6" i="3"/>
  <c r="DL6" i="3"/>
  <c r="DK6" i="3"/>
  <c r="DJ6" i="3"/>
  <c r="DI6" i="3"/>
  <c r="L59" i="5"/>
  <c r="H17" i="5"/>
  <c r="G17" i="5"/>
  <c r="H16" i="5"/>
  <c r="G16" i="5"/>
  <c r="H15" i="5"/>
  <c r="G15" i="5"/>
  <c r="H14" i="5"/>
  <c r="G14" i="5"/>
  <c r="H13" i="5"/>
  <c r="G13" i="5"/>
  <c r="H11" i="5"/>
  <c r="G11" i="5"/>
  <c r="H9" i="5"/>
  <c r="H8" i="5"/>
  <c r="G8" i="5"/>
  <c r="C8" i="5"/>
  <c r="C9" i="5" s="1"/>
  <c r="C11" i="5" s="1"/>
  <c r="C13" i="5" s="1"/>
  <c r="C14" i="5" s="1"/>
  <c r="C15" i="5" s="1"/>
  <c r="C16" i="5" s="1"/>
  <c r="C17" i="5" s="1"/>
  <c r="C19" i="5" s="1"/>
  <c r="C20" i="5" s="1"/>
  <c r="C21" i="5" s="1"/>
  <c r="C22" i="5" s="1"/>
  <c r="C23" i="5" s="1"/>
  <c r="C24" i="5" s="1"/>
  <c r="C25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B8" i="5"/>
  <c r="B9" i="5" s="1"/>
  <c r="B11" i="5" s="1"/>
  <c r="B13" i="5" s="1"/>
  <c r="B14" i="5" s="1"/>
  <c r="B15" i="5" s="1"/>
  <c r="B16" i="5" s="1"/>
  <c r="B17" i="5" s="1"/>
  <c r="B19" i="5" s="1"/>
  <c r="B20" i="5" s="1"/>
  <c r="B21" i="5" s="1"/>
  <c r="B22" i="5" s="1"/>
  <c r="B23" i="5" s="1"/>
  <c r="B24" i="5" s="1"/>
  <c r="B25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H7" i="5"/>
  <c r="G7" i="5"/>
  <c r="H6" i="5"/>
  <c r="G6" i="5"/>
  <c r="AA3" i="5"/>
  <c r="AA10" i="5" s="1"/>
  <c r="AB10" i="5" s="1"/>
  <c r="X3" i="5"/>
  <c r="X10" i="5" s="1"/>
  <c r="Y10" i="5" s="1"/>
  <c r="U3" i="5"/>
  <c r="U10" i="5" s="1"/>
  <c r="V10" i="5" s="1"/>
  <c r="R3" i="5"/>
  <c r="R10" i="5" s="1"/>
  <c r="S10" i="5" s="1"/>
  <c r="DH6" i="3"/>
  <c r="DG6" i="3"/>
  <c r="AA3" i="2"/>
  <c r="DF6" i="3"/>
  <c r="DE6" i="3"/>
  <c r="DD6" i="3"/>
  <c r="DC6" i="3"/>
  <c r="DB6" i="3"/>
  <c r="DA6" i="3"/>
  <c r="CZ6" i="3"/>
  <c r="CY6" i="3"/>
  <c r="CX6" i="3"/>
  <c r="CV6" i="3"/>
  <c r="CW6" i="3"/>
  <c r="CT6" i="3"/>
  <c r="CU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K60" i="2"/>
  <c r="CC6" i="3"/>
  <c r="CB6" i="3"/>
  <c r="U3" i="2"/>
  <c r="CA6" i="3"/>
  <c r="BZ6" i="3"/>
  <c r="BY6" i="3"/>
  <c r="BX6" i="3"/>
  <c r="BW6" i="3"/>
  <c r="BV6" i="3"/>
  <c r="BU6" i="3"/>
  <c r="BT6" i="3"/>
  <c r="BS6" i="3"/>
  <c r="BR6" i="3"/>
  <c r="JK22" i="3" s="1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JM8" i="3" s="1"/>
  <c r="R6" i="3"/>
  <c r="Q6" i="3"/>
  <c r="P6" i="3"/>
  <c r="X3" i="2"/>
  <c r="O3" i="2"/>
  <c r="O6" i="3"/>
  <c r="N6" i="3"/>
  <c r="M6" i="3"/>
  <c r="L6" i="3"/>
  <c r="K6" i="3"/>
  <c r="J6" i="3"/>
  <c r="I6" i="3"/>
  <c r="H6" i="3"/>
  <c r="G6" i="3"/>
  <c r="F6" i="3"/>
  <c r="E6" i="3"/>
  <c r="D6" i="3"/>
  <c r="C6" i="3"/>
  <c r="H15" i="2"/>
  <c r="G15" i="2"/>
  <c r="H14" i="2"/>
  <c r="G14" i="2"/>
  <c r="H13" i="2"/>
  <c r="G13" i="2"/>
  <c r="H12" i="2"/>
  <c r="G12" i="2"/>
  <c r="H11" i="2"/>
  <c r="G11" i="2"/>
  <c r="G10" i="2"/>
  <c r="H9" i="2"/>
  <c r="G9" i="2"/>
  <c r="H8" i="2"/>
  <c r="G8" i="2"/>
  <c r="C8" i="2"/>
  <c r="C9" i="2" s="1"/>
  <c r="C10" i="2" s="1"/>
  <c r="C11" i="2" s="1"/>
  <c r="C12" i="2" s="1"/>
  <c r="C13" i="2" s="1"/>
  <c r="C14" i="2" s="1"/>
  <c r="C15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8" i="2"/>
  <c r="B9" i="2" s="1"/>
  <c r="B10" i="2" s="1"/>
  <c r="B11" i="2" s="1"/>
  <c r="B12" i="2" s="1"/>
  <c r="B13" i="2" s="1"/>
  <c r="B14" i="2" s="1"/>
  <c r="B15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H7" i="2"/>
  <c r="G7" i="2"/>
  <c r="H6" i="2"/>
  <c r="G6" i="2"/>
  <c r="K6" i="2" s="1"/>
  <c r="L6" i="2" s="1"/>
  <c r="AM6" i="2" s="1"/>
  <c r="J11" i="5" l="1"/>
  <c r="K12" i="5"/>
  <c r="L12" i="5" s="1"/>
  <c r="AG12" i="5" s="1"/>
  <c r="AH12" i="5" s="1"/>
  <c r="JL8" i="3"/>
  <c r="JK8" i="3"/>
  <c r="K11" i="5"/>
  <c r="L11" i="5" s="1"/>
  <c r="AP11" i="5" s="1"/>
  <c r="JI8" i="3"/>
  <c r="JJ8" i="3"/>
  <c r="JG8" i="3"/>
  <c r="JH8" i="3"/>
  <c r="JE8" i="3"/>
  <c r="JF8" i="3"/>
  <c r="JB8" i="3"/>
  <c r="JD8" i="3"/>
  <c r="JC8" i="3"/>
  <c r="IZ8" i="3"/>
  <c r="JA8" i="3"/>
  <c r="IY8" i="3"/>
  <c r="IX8" i="3"/>
  <c r="IV8" i="3"/>
  <c r="IW8" i="3"/>
  <c r="J15" i="2"/>
  <c r="AG6" i="2"/>
  <c r="AJ6" i="2"/>
  <c r="IQ8" i="3"/>
  <c r="IS8" i="3"/>
  <c r="IR8" i="3"/>
  <c r="IU8" i="3"/>
  <c r="IT8" i="3"/>
  <c r="IE8" i="3"/>
  <c r="IJ8" i="3"/>
  <c r="II8" i="3"/>
  <c r="IH8" i="3"/>
  <c r="ID8" i="3"/>
  <c r="IG8" i="3"/>
  <c r="IC8" i="3"/>
  <c r="IF8" i="3"/>
  <c r="IK8" i="3"/>
  <c r="IB8" i="3"/>
  <c r="IP8" i="3"/>
  <c r="IO8" i="3"/>
  <c r="IN8" i="3"/>
  <c r="IM8" i="3"/>
  <c r="IL8" i="3"/>
  <c r="IA8" i="3"/>
  <c r="HZ8" i="3"/>
  <c r="HX8" i="3"/>
  <c r="HY8" i="3"/>
  <c r="AM9" i="3"/>
  <c r="CG9" i="3"/>
  <c r="BC9" i="3"/>
  <c r="BS9" i="3"/>
  <c r="CV9" i="3"/>
  <c r="DI9" i="3"/>
  <c r="CX9" i="3"/>
  <c r="CU9" i="3"/>
  <c r="DD9" i="3"/>
  <c r="BV9" i="3"/>
  <c r="AB9" i="3"/>
  <c r="AR9" i="3"/>
  <c r="BH9" i="3"/>
  <c r="BX9" i="3"/>
  <c r="CL9" i="3"/>
  <c r="DB9" i="3"/>
  <c r="AY9" i="3"/>
  <c r="BO9" i="3"/>
  <c r="AD9" i="3"/>
  <c r="AL9" i="3"/>
  <c r="BT9" i="3"/>
  <c r="CJ9" i="3"/>
  <c r="AS9" i="3"/>
  <c r="BY9" i="3"/>
  <c r="AP9" i="3"/>
  <c r="DK9" i="3"/>
  <c r="BF9" i="3"/>
  <c r="CZ9" i="3"/>
  <c r="BB9" i="3"/>
  <c r="BR9" i="3"/>
  <c r="CF9" i="3"/>
  <c r="Y8" i="3"/>
  <c r="Y9" i="3"/>
  <c r="AO9" i="3"/>
  <c r="BE9" i="3"/>
  <c r="BU9" i="3"/>
  <c r="CI9" i="3"/>
  <c r="CY9" i="3"/>
  <c r="W8" i="3"/>
  <c r="W9" i="3"/>
  <c r="AA8" i="3"/>
  <c r="AA9" i="3"/>
  <c r="AQ9" i="3"/>
  <c r="BG9" i="3"/>
  <c r="BW9" i="3"/>
  <c r="CK9" i="3"/>
  <c r="DA9" i="3"/>
  <c r="X8" i="3"/>
  <c r="X9" i="3"/>
  <c r="BD9" i="3"/>
  <c r="CH9" i="3"/>
  <c r="Z8" i="3"/>
  <c r="Z9" i="3"/>
  <c r="AC9" i="3"/>
  <c r="BI9" i="3"/>
  <c r="CM9" i="3"/>
  <c r="DC9" i="3"/>
  <c r="DJ9" i="3"/>
  <c r="AE9" i="3"/>
  <c r="AU9" i="3"/>
  <c r="CO9" i="3"/>
  <c r="DE9" i="3"/>
  <c r="AV9" i="3"/>
  <c r="CP9" i="3"/>
  <c r="BM9" i="3"/>
  <c r="DL9" i="3"/>
  <c r="AT9" i="3"/>
  <c r="BK9" i="3"/>
  <c r="AF9" i="3"/>
  <c r="BL9" i="3"/>
  <c r="DF9" i="3"/>
  <c r="AH9" i="3"/>
  <c r="AX9" i="3"/>
  <c r="BN9" i="3"/>
  <c r="CC9" i="3"/>
  <c r="CR9" i="3"/>
  <c r="DG9" i="3"/>
  <c r="DM9" i="3"/>
  <c r="AG9" i="3"/>
  <c r="CS9" i="3"/>
  <c r="DH9" i="3"/>
  <c r="AN9" i="3"/>
  <c r="BJ9" i="3"/>
  <c r="BZ9" i="3"/>
  <c r="CN9" i="3"/>
  <c r="S9" i="3"/>
  <c r="HW8" i="3"/>
  <c r="HV8" i="3"/>
  <c r="T8" i="3"/>
  <c r="T9" i="3"/>
  <c r="AJ9" i="3"/>
  <c r="AZ9" i="3"/>
  <c r="BP9" i="3"/>
  <c r="CD9" i="3"/>
  <c r="DN9" i="3"/>
  <c r="CA9" i="3"/>
  <c r="AW9" i="3"/>
  <c r="CB9" i="3"/>
  <c r="U8" i="3"/>
  <c r="U9" i="3"/>
  <c r="AK9" i="3"/>
  <c r="BA9" i="3"/>
  <c r="BQ9" i="3"/>
  <c r="CE9" i="3"/>
  <c r="CT9" i="3"/>
  <c r="DO9" i="3"/>
  <c r="CQ9" i="3"/>
  <c r="AI9" i="3"/>
  <c r="V8" i="3"/>
  <c r="V9" i="3"/>
  <c r="CW9" i="3"/>
  <c r="DP9" i="3"/>
  <c r="DQ9" i="3"/>
  <c r="K9" i="5"/>
  <c r="J16" i="5"/>
  <c r="HI8" i="3"/>
  <c r="HQ8" i="3"/>
  <c r="HJ8" i="3"/>
  <c r="HN8" i="3"/>
  <c r="HP8" i="3"/>
  <c r="HU8" i="3"/>
  <c r="HK8" i="3"/>
  <c r="HS8" i="3"/>
  <c r="HM8" i="3"/>
  <c r="HL8" i="3"/>
  <c r="HO8" i="3"/>
  <c r="HT8" i="3"/>
  <c r="HR8" i="3"/>
  <c r="HG8" i="3"/>
  <c r="HH8" i="3"/>
  <c r="HF8" i="3"/>
  <c r="HD8" i="3"/>
  <c r="HE8" i="3"/>
  <c r="HC8" i="3"/>
  <c r="HB8" i="3"/>
  <c r="GX8" i="3"/>
  <c r="HA8" i="3"/>
  <c r="GZ8" i="3"/>
  <c r="GY8" i="3"/>
  <c r="GV8" i="3"/>
  <c r="GW8" i="3"/>
  <c r="GS8" i="3"/>
  <c r="GT8" i="3"/>
  <c r="GU8" i="3"/>
  <c r="GP8" i="3"/>
  <c r="GQ8" i="3"/>
  <c r="GR8" i="3"/>
  <c r="GO8" i="3"/>
  <c r="GN8" i="3"/>
  <c r="GM8" i="3"/>
  <c r="GL8" i="3"/>
  <c r="GI8" i="3"/>
  <c r="GK8" i="3"/>
  <c r="GJ8" i="3"/>
  <c r="K17" i="5"/>
  <c r="K7" i="5"/>
  <c r="L7" i="5" s="1"/>
  <c r="AP7" i="5" s="1"/>
  <c r="AQ7" i="5" s="1"/>
  <c r="K16" i="5"/>
  <c r="L16" i="5" s="1"/>
  <c r="J7" i="5"/>
  <c r="K13" i="5"/>
  <c r="J8" i="5"/>
  <c r="BS8" i="3"/>
  <c r="K15" i="5"/>
  <c r="L15" i="5" s="1"/>
  <c r="AP15" i="5" s="1"/>
  <c r="AQ15" i="5" s="1"/>
  <c r="K14" i="5"/>
  <c r="L14" i="5" s="1"/>
  <c r="AP14" i="5" s="1"/>
  <c r="AQ14" i="5" s="1"/>
  <c r="AE8" i="3"/>
  <c r="AF8" i="3"/>
  <c r="J13" i="5"/>
  <c r="K10" i="2"/>
  <c r="FU8" i="3"/>
  <c r="FM8" i="3"/>
  <c r="GE8" i="3"/>
  <c r="FO8" i="3"/>
  <c r="ER8" i="3"/>
  <c r="EZ8" i="3"/>
  <c r="FE8" i="3"/>
  <c r="GG8" i="3"/>
  <c r="ES8" i="3"/>
  <c r="GD8" i="3"/>
  <c r="FN8" i="3"/>
  <c r="EQ8" i="3"/>
  <c r="FV8" i="3"/>
  <c r="GC8" i="3"/>
  <c r="FL8" i="3"/>
  <c r="GH8" i="3"/>
  <c r="GB8" i="3"/>
  <c r="FK8" i="3"/>
  <c r="FG8" i="3"/>
  <c r="GA8" i="3"/>
  <c r="FJ8" i="3"/>
  <c r="FC8" i="3"/>
  <c r="FY8" i="3"/>
  <c r="FI8" i="3"/>
  <c r="FS8" i="3"/>
  <c r="EV8" i="3"/>
  <c r="EU8" i="3"/>
  <c r="FQ8" i="3"/>
  <c r="ET8" i="3"/>
  <c r="FB8" i="3"/>
  <c r="FH8" i="3"/>
  <c r="FT8" i="3"/>
  <c r="FA8" i="3"/>
  <c r="FX8" i="3"/>
  <c r="FF8" i="3"/>
  <c r="EX8" i="3"/>
  <c r="FZ8" i="3"/>
  <c r="GF8" i="3"/>
  <c r="EW8" i="3"/>
  <c r="FD8" i="3"/>
  <c r="FR8" i="3"/>
  <c r="FW8" i="3"/>
  <c r="S12" i="3"/>
  <c r="EY8" i="3"/>
  <c r="FP8" i="3"/>
  <c r="DH8" i="3"/>
  <c r="DJ8" i="3"/>
  <c r="DN8" i="3"/>
  <c r="CW8" i="3"/>
  <c r="CX8" i="3"/>
  <c r="S13" i="3"/>
  <c r="CZ8" i="3"/>
  <c r="DO8" i="3"/>
  <c r="CY8" i="3"/>
  <c r="DA8" i="3"/>
  <c r="DP8" i="3"/>
  <c r="DK8" i="3"/>
  <c r="DL8" i="3"/>
  <c r="DM8" i="3"/>
  <c r="BY8" i="3"/>
  <c r="CN8" i="3"/>
  <c r="DC8" i="3"/>
  <c r="CT8" i="3"/>
  <c r="CQ8" i="3"/>
  <c r="CV8" i="3"/>
  <c r="DB8" i="3"/>
  <c r="CM8" i="3"/>
  <c r="DD8" i="3"/>
  <c r="AH8" i="3"/>
  <c r="CO8" i="3"/>
  <c r="CP8" i="3"/>
  <c r="EL8" i="3"/>
  <c r="EN8" i="3"/>
  <c r="EO8" i="3"/>
  <c r="EM8" i="3"/>
  <c r="EP8" i="3"/>
  <c r="AX8" i="3"/>
  <c r="EJ8" i="3"/>
  <c r="EK8" i="3"/>
  <c r="EF8" i="3"/>
  <c r="EG8" i="3"/>
  <c r="EH8" i="3"/>
  <c r="EI8" i="3"/>
  <c r="EB8" i="3"/>
  <c r="EC8" i="3"/>
  <c r="ED8" i="3"/>
  <c r="EE8" i="3"/>
  <c r="DV8" i="3"/>
  <c r="DW8" i="3"/>
  <c r="DX8" i="3"/>
  <c r="DY8" i="3"/>
  <c r="DZ8" i="3"/>
  <c r="EA8" i="3"/>
  <c r="CU8" i="3"/>
  <c r="DG8" i="3"/>
  <c r="BR8" i="3"/>
  <c r="S8" i="3"/>
  <c r="DI8" i="3"/>
  <c r="AV8" i="3"/>
  <c r="DR8" i="3"/>
  <c r="DT8" i="3"/>
  <c r="DS8" i="3"/>
  <c r="DU8" i="3"/>
  <c r="DQ8" i="3"/>
  <c r="BN8" i="3"/>
  <c r="CC8" i="3"/>
  <c r="CR8" i="3"/>
  <c r="DE8" i="3"/>
  <c r="BO8" i="3"/>
  <c r="CS8" i="3"/>
  <c r="AK8" i="3"/>
  <c r="DF8" i="3"/>
  <c r="AL8" i="3"/>
  <c r="BB8" i="3"/>
  <c r="J14" i="5"/>
  <c r="K6" i="5"/>
  <c r="L6" i="5" s="1"/>
  <c r="AP6" i="5" s="1"/>
  <c r="AQ6" i="5" s="1"/>
  <c r="J15" i="5"/>
  <c r="J6" i="5"/>
  <c r="K8" i="5"/>
  <c r="L8" i="5" s="1"/>
  <c r="AP8" i="5" s="1"/>
  <c r="AQ8" i="5" s="1"/>
  <c r="J9" i="5"/>
  <c r="L9" i="5" s="1"/>
  <c r="AI8" i="3"/>
  <c r="AY8" i="3"/>
  <c r="BZ8" i="3"/>
  <c r="AJ8" i="3"/>
  <c r="AZ8" i="3"/>
  <c r="CA8" i="3"/>
  <c r="BA8" i="3"/>
  <c r="BL8" i="3"/>
  <c r="BM8" i="3"/>
  <c r="CB8" i="3"/>
  <c r="BP8" i="3"/>
  <c r="BQ8" i="3"/>
  <c r="CD8" i="3"/>
  <c r="CE8" i="3"/>
  <c r="CF8" i="3"/>
  <c r="BT8" i="3"/>
  <c r="CG8" i="3"/>
  <c r="BU8" i="3"/>
  <c r="CH8" i="3"/>
  <c r="BV8" i="3"/>
  <c r="CI8" i="3"/>
  <c r="BW8" i="3"/>
  <c r="CJ8" i="3"/>
  <c r="AG8" i="3"/>
  <c r="AW8" i="3"/>
  <c r="BX8" i="3"/>
  <c r="CK8" i="3"/>
  <c r="CL8" i="3"/>
  <c r="BC8" i="3"/>
  <c r="BD8" i="3"/>
  <c r="AU8" i="3"/>
  <c r="AQ8" i="3"/>
  <c r="BG8" i="3"/>
  <c r="AO8" i="3"/>
  <c r="BH8" i="3"/>
  <c r="BE8" i="3"/>
  <c r="AP8" i="3"/>
  <c r="AR8" i="3"/>
  <c r="BI8" i="3"/>
  <c r="AN8" i="3"/>
  <c r="BF8" i="3"/>
  <c r="AB8" i="3"/>
  <c r="AT8" i="3"/>
  <c r="AM8" i="3"/>
  <c r="AC8" i="3"/>
  <c r="AS8" i="3"/>
  <c r="AD8" i="3"/>
  <c r="BJ8" i="3"/>
  <c r="BK8" i="3"/>
  <c r="K51" i="2"/>
  <c r="U6" i="2"/>
  <c r="V6" i="2" s="1"/>
  <c r="J12" i="2"/>
  <c r="K15" i="2"/>
  <c r="L15" i="2" s="1"/>
  <c r="AM15" i="2" s="1"/>
  <c r="J11" i="2"/>
  <c r="AD6" i="2"/>
  <c r="K13" i="2"/>
  <c r="L13" i="2" s="1"/>
  <c r="AM13" i="2" s="1"/>
  <c r="X6" i="2"/>
  <c r="Y6" i="2" s="1"/>
  <c r="AA6" i="2"/>
  <c r="AB6" i="2" s="1"/>
  <c r="J13" i="2"/>
  <c r="K14" i="2"/>
  <c r="L14" i="2" s="1"/>
  <c r="AM14" i="2" s="1"/>
  <c r="K7" i="2"/>
  <c r="L7" i="2" s="1"/>
  <c r="AM7" i="2" s="1"/>
  <c r="O6" i="2"/>
  <c r="P6" i="2" s="1"/>
  <c r="R6" i="2"/>
  <c r="S6" i="2" s="1"/>
  <c r="J8" i="2"/>
  <c r="J10" i="2"/>
  <c r="K11" i="2"/>
  <c r="L11" i="2" s="1"/>
  <c r="AM11" i="2" s="1"/>
  <c r="K12" i="2"/>
  <c r="L12" i="2" s="1"/>
  <c r="AM12" i="2" s="1"/>
  <c r="K8" i="2"/>
  <c r="L8" i="2" s="1"/>
  <c r="AM8" i="2" s="1"/>
  <c r="J6" i="2"/>
  <c r="K9" i="2"/>
  <c r="J7" i="2"/>
  <c r="J14" i="2"/>
  <c r="J9" i="2"/>
  <c r="L13" i="5" l="1"/>
  <c r="AP13" i="5" s="1"/>
  <c r="AQ13" i="5" s="1"/>
  <c r="X12" i="5"/>
  <c r="Y12" i="5" s="1"/>
  <c r="U12" i="5"/>
  <c r="V12" i="5" s="1"/>
  <c r="R12" i="5"/>
  <c r="S12" i="5" s="1"/>
  <c r="AJ12" i="5"/>
  <c r="AK12" i="5" s="1"/>
  <c r="AD12" i="5"/>
  <c r="AE12" i="5" s="1"/>
  <c r="AM12" i="5"/>
  <c r="AN12" i="5" s="1"/>
  <c r="AP12" i="5"/>
  <c r="AQ12" i="5" s="1"/>
  <c r="AA12" i="5"/>
  <c r="AB12" i="5" s="1"/>
  <c r="AJ15" i="2"/>
  <c r="AK15" i="2" s="1"/>
  <c r="AN15" i="2"/>
  <c r="L9" i="2"/>
  <c r="AJ13" i="2"/>
  <c r="AK13" i="2" s="1"/>
  <c r="AN13" i="2"/>
  <c r="K59" i="2"/>
  <c r="L10" i="2"/>
  <c r="AN8" i="2"/>
  <c r="AN14" i="2"/>
  <c r="AN11" i="2"/>
  <c r="AN6" i="2"/>
  <c r="AN12" i="2"/>
  <c r="AN7" i="2"/>
  <c r="R16" i="5"/>
  <c r="S16" i="5" s="1"/>
  <c r="AP16" i="5"/>
  <c r="AQ16" i="5" s="1"/>
  <c r="AP42" i="5"/>
  <c r="AQ11" i="5"/>
  <c r="AP4" i="5"/>
  <c r="AG11" i="2"/>
  <c r="AH11" i="2" s="1"/>
  <c r="AJ11" i="2"/>
  <c r="AK11" i="2" s="1"/>
  <c r="AG8" i="2"/>
  <c r="AH8" i="2" s="1"/>
  <c r="AJ8" i="2"/>
  <c r="AK8" i="2" s="1"/>
  <c r="L58" i="5"/>
  <c r="AG14" i="2"/>
  <c r="AH14" i="2" s="1"/>
  <c r="AJ14" i="2"/>
  <c r="AK14" i="2" s="1"/>
  <c r="AG7" i="2"/>
  <c r="AH7" i="2" s="1"/>
  <c r="AJ7" i="2"/>
  <c r="AK7" i="2" s="1"/>
  <c r="AG12" i="2"/>
  <c r="AH12" i="2" s="1"/>
  <c r="AJ12" i="2"/>
  <c r="AK12" i="2" s="1"/>
  <c r="AK6" i="2"/>
  <c r="AD8" i="5"/>
  <c r="AE8" i="5" s="1"/>
  <c r="L17" i="5"/>
  <c r="AM15" i="5"/>
  <c r="AN15" i="5" s="1"/>
  <c r="AD15" i="5"/>
  <c r="AE15" i="5" s="1"/>
  <c r="L51" i="5"/>
  <c r="L57" i="5" s="1"/>
  <c r="O6" i="5"/>
  <c r="P6" i="5" s="1"/>
  <c r="AD6" i="5"/>
  <c r="AE6" i="5" s="1"/>
  <c r="O16" i="5"/>
  <c r="P16" i="5" s="1"/>
  <c r="AD16" i="5"/>
  <c r="AE16" i="5" s="1"/>
  <c r="X7" i="5"/>
  <c r="Y7" i="5" s="1"/>
  <c r="AD7" i="5"/>
  <c r="AE7" i="5" s="1"/>
  <c r="AM14" i="5"/>
  <c r="AN14" i="5" s="1"/>
  <c r="AD14" i="5"/>
  <c r="AE14" i="5" s="1"/>
  <c r="U7" i="5"/>
  <c r="V7" i="5" s="1"/>
  <c r="O7" i="5"/>
  <c r="P7" i="5" s="1"/>
  <c r="AJ7" i="5"/>
  <c r="AK7" i="5" s="1"/>
  <c r="AM7" i="5"/>
  <c r="AN7" i="5" s="1"/>
  <c r="AA7" i="5"/>
  <c r="AB7" i="5" s="1"/>
  <c r="X16" i="5"/>
  <c r="Y16" i="5" s="1"/>
  <c r="R7" i="5"/>
  <c r="S7" i="5" s="1"/>
  <c r="AJ16" i="5"/>
  <c r="AK16" i="5" s="1"/>
  <c r="U16" i="5"/>
  <c r="V16" i="5" s="1"/>
  <c r="X15" i="5"/>
  <c r="Y15" i="5" s="1"/>
  <c r="AA16" i="5"/>
  <c r="AB16" i="5" s="1"/>
  <c r="AM16" i="5"/>
  <c r="AN16" i="5" s="1"/>
  <c r="AG16" i="5"/>
  <c r="AH16" i="5" s="1"/>
  <c r="AG7" i="5"/>
  <c r="AH7" i="5" s="1"/>
  <c r="AG15" i="5"/>
  <c r="AH15" i="5" s="1"/>
  <c r="AA15" i="5"/>
  <c r="AB15" i="5" s="1"/>
  <c r="AG14" i="5"/>
  <c r="AH14" i="5" s="1"/>
  <c r="U14" i="5"/>
  <c r="V14" i="5" s="1"/>
  <c r="X14" i="5"/>
  <c r="Y14" i="5" s="1"/>
  <c r="O14" i="5"/>
  <c r="P14" i="5" s="1"/>
  <c r="O15" i="5"/>
  <c r="P15" i="5" s="1"/>
  <c r="R15" i="5"/>
  <c r="S15" i="5" s="1"/>
  <c r="R14" i="5"/>
  <c r="S14" i="5" s="1"/>
  <c r="U15" i="5"/>
  <c r="V15" i="5" s="1"/>
  <c r="AA14" i="5"/>
  <c r="AB14" i="5" s="1"/>
  <c r="AJ14" i="5"/>
  <c r="AK14" i="5" s="1"/>
  <c r="AJ15" i="5"/>
  <c r="AK15" i="5" s="1"/>
  <c r="X6" i="5"/>
  <c r="Y6" i="5" s="1"/>
  <c r="AM6" i="5"/>
  <c r="AN6" i="5" s="1"/>
  <c r="AJ6" i="5"/>
  <c r="AK6" i="5" s="1"/>
  <c r="U6" i="5"/>
  <c r="V6" i="5" s="1"/>
  <c r="AG6" i="5"/>
  <c r="AH6" i="5" s="1"/>
  <c r="AD15" i="2"/>
  <c r="AE15" i="2" s="1"/>
  <c r="AG15" i="2"/>
  <c r="AH15" i="2" s="1"/>
  <c r="X13" i="2"/>
  <c r="Y13" i="2" s="1"/>
  <c r="AG13" i="2"/>
  <c r="AH13" i="2" s="1"/>
  <c r="AH6" i="2"/>
  <c r="L52" i="5"/>
  <c r="L53" i="5"/>
  <c r="AA6" i="5"/>
  <c r="AB6" i="5" s="1"/>
  <c r="R6" i="5"/>
  <c r="S6" i="5" s="1"/>
  <c r="K52" i="2"/>
  <c r="K58" i="2" s="1"/>
  <c r="K54" i="2"/>
  <c r="K53" i="2"/>
  <c r="AE6" i="2"/>
  <c r="X15" i="2"/>
  <c r="Y15" i="2" s="1"/>
  <c r="R15" i="2"/>
  <c r="S15" i="2" s="1"/>
  <c r="U15" i="2"/>
  <c r="V15" i="2" s="1"/>
  <c r="AA15" i="2"/>
  <c r="AB15" i="2" s="1"/>
  <c r="O15" i="2"/>
  <c r="P15" i="2" s="1"/>
  <c r="U13" i="2"/>
  <c r="V13" i="2" s="1"/>
  <c r="AD13" i="2"/>
  <c r="AE13" i="2" s="1"/>
  <c r="U7" i="2"/>
  <c r="V7" i="2" s="1"/>
  <c r="AD7" i="2"/>
  <c r="AE7" i="2" s="1"/>
  <c r="U14" i="2"/>
  <c r="V14" i="2" s="1"/>
  <c r="AD14" i="2"/>
  <c r="AE14" i="2" s="1"/>
  <c r="U8" i="2"/>
  <c r="V8" i="2" s="1"/>
  <c r="AD8" i="2"/>
  <c r="AE8" i="2" s="1"/>
  <c r="U11" i="2"/>
  <c r="V11" i="2" s="1"/>
  <c r="AD11" i="2"/>
  <c r="AE11" i="2" s="1"/>
  <c r="U12" i="2"/>
  <c r="V12" i="2" s="1"/>
  <c r="AD12" i="2"/>
  <c r="AE12" i="2" s="1"/>
  <c r="O13" i="2"/>
  <c r="P13" i="2" s="1"/>
  <c r="R13" i="2"/>
  <c r="S13" i="2" s="1"/>
  <c r="AA13" i="2"/>
  <c r="AB13" i="2" s="1"/>
  <c r="R7" i="2"/>
  <c r="S7" i="2" s="1"/>
  <c r="O7" i="2"/>
  <c r="P7" i="2" s="1"/>
  <c r="X7" i="2"/>
  <c r="Y7" i="2" s="1"/>
  <c r="AA7" i="2"/>
  <c r="AB7" i="2" s="1"/>
  <c r="O14" i="2"/>
  <c r="P14" i="2" s="1"/>
  <c r="AA14" i="2"/>
  <c r="AB14" i="2" s="1"/>
  <c r="R14" i="2"/>
  <c r="S14" i="2" s="1"/>
  <c r="X14" i="2"/>
  <c r="Y14" i="2" s="1"/>
  <c r="X8" i="2"/>
  <c r="Y8" i="2" s="1"/>
  <c r="O8" i="2"/>
  <c r="P8" i="2" s="1"/>
  <c r="AA8" i="2"/>
  <c r="AB8" i="2" s="1"/>
  <c r="R8" i="2"/>
  <c r="S8" i="2" s="1"/>
  <c r="O12" i="2"/>
  <c r="P12" i="2" s="1"/>
  <c r="AA12" i="2"/>
  <c r="AB12" i="2" s="1"/>
  <c r="R12" i="2"/>
  <c r="S12" i="2" s="1"/>
  <c r="X12" i="2"/>
  <c r="Y12" i="2" s="1"/>
  <c r="O11" i="2"/>
  <c r="P11" i="2" s="1"/>
  <c r="AA11" i="2"/>
  <c r="AB11" i="2" s="1"/>
  <c r="R11" i="2"/>
  <c r="S11" i="2" s="1"/>
  <c r="X11" i="2"/>
  <c r="Y11" i="2" s="1"/>
  <c r="AM13" i="5" l="1"/>
  <c r="AN13" i="5" s="1"/>
  <c r="AG13" i="5"/>
  <c r="AH13" i="5" s="1"/>
  <c r="AD13" i="5"/>
  <c r="AE13" i="5" s="1"/>
  <c r="AA13" i="5"/>
  <c r="AB13" i="5" s="1"/>
  <c r="AJ13" i="5"/>
  <c r="AK13" i="5" s="1"/>
  <c r="X13" i="5"/>
  <c r="Y13" i="5" s="1"/>
  <c r="R13" i="5"/>
  <c r="S13" i="5" s="1"/>
  <c r="U13" i="5"/>
  <c r="V13" i="5" s="1"/>
  <c r="O13" i="5"/>
  <c r="P13" i="5" s="1"/>
  <c r="AM9" i="2"/>
  <c r="AN9" i="2" s="1"/>
  <c r="AM10" i="2"/>
  <c r="AN10" i="2" s="1"/>
  <c r="U9" i="2"/>
  <c r="V9" i="2" s="1"/>
  <c r="X9" i="2"/>
  <c r="Y9" i="2" s="1"/>
  <c r="AA9" i="2"/>
  <c r="AB9" i="2" s="1"/>
  <c r="R9" i="2"/>
  <c r="S9" i="2" s="1"/>
  <c r="O9" i="2"/>
  <c r="P9" i="2" s="1"/>
  <c r="AG9" i="2"/>
  <c r="AH9" i="2" s="1"/>
  <c r="AD9" i="2"/>
  <c r="AE9" i="2" s="1"/>
  <c r="K61" i="2"/>
  <c r="K63" i="2" s="1"/>
  <c r="AJ9" i="2"/>
  <c r="AK9" i="2" s="1"/>
  <c r="AD9" i="5"/>
  <c r="AE9" i="5" s="1"/>
  <c r="AP9" i="5"/>
  <c r="AQ9" i="5" s="1"/>
  <c r="AA17" i="5"/>
  <c r="AB17" i="5" s="1"/>
  <c r="AP17" i="5"/>
  <c r="AQ17" i="5" s="1"/>
  <c r="O9" i="5"/>
  <c r="P9" i="5" s="1"/>
  <c r="AA9" i="5"/>
  <c r="AB9" i="5" s="1"/>
  <c r="AG9" i="5"/>
  <c r="AH9" i="5" s="1"/>
  <c r="R9" i="5"/>
  <c r="S9" i="5" s="1"/>
  <c r="U9" i="5"/>
  <c r="V9" i="5" s="1"/>
  <c r="X9" i="5"/>
  <c r="Y9" i="5" s="1"/>
  <c r="AM9" i="5"/>
  <c r="AN9" i="5" s="1"/>
  <c r="AJ9" i="5"/>
  <c r="AK9" i="5" s="1"/>
  <c r="AG10" i="2"/>
  <c r="AH10" i="2" s="1"/>
  <c r="AJ10" i="2"/>
  <c r="R8" i="5"/>
  <c r="S8" i="5" s="1"/>
  <c r="AA8" i="5"/>
  <c r="AB8" i="5" s="1"/>
  <c r="U8" i="5"/>
  <c r="V8" i="5" s="1"/>
  <c r="AJ8" i="5"/>
  <c r="AK8" i="5" s="1"/>
  <c r="O8" i="5"/>
  <c r="P8" i="5" s="1"/>
  <c r="AM8" i="5"/>
  <c r="AN8" i="5" s="1"/>
  <c r="X8" i="5"/>
  <c r="Y8" i="5" s="1"/>
  <c r="AG8" i="5"/>
  <c r="AH8" i="5" s="1"/>
  <c r="R17" i="5"/>
  <c r="S17" i="5" s="1"/>
  <c r="X17" i="5"/>
  <c r="Y17" i="5" s="1"/>
  <c r="AM17" i="5"/>
  <c r="AN17" i="5" s="1"/>
  <c r="U17" i="5"/>
  <c r="V17" i="5" s="1"/>
  <c r="AJ17" i="5"/>
  <c r="AK17" i="5" s="1"/>
  <c r="AG17" i="5"/>
  <c r="AH17" i="5" s="1"/>
  <c r="O17" i="5"/>
  <c r="P17" i="5" s="1"/>
  <c r="AD17" i="5"/>
  <c r="AE17" i="5" s="1"/>
  <c r="AA11" i="5"/>
  <c r="AD11" i="5"/>
  <c r="AE11" i="5" s="1"/>
  <c r="L60" i="5"/>
  <c r="L62" i="5" s="1"/>
  <c r="O11" i="5"/>
  <c r="P11" i="5" s="1"/>
  <c r="AM11" i="5"/>
  <c r="AJ11" i="5"/>
  <c r="AG11" i="5"/>
  <c r="AH11" i="5" s="1"/>
  <c r="R11" i="5"/>
  <c r="U11" i="5"/>
  <c r="U42" i="5" s="1"/>
  <c r="X11" i="5"/>
  <c r="O10" i="2"/>
  <c r="P10" i="2" s="1"/>
  <c r="X10" i="2"/>
  <c r="X43" i="2" s="1"/>
  <c r="R10" i="2"/>
  <c r="R43" i="2" s="1"/>
  <c r="AA10" i="2"/>
  <c r="AB10" i="2" s="1"/>
  <c r="AD10" i="2"/>
  <c r="AD4" i="2" s="1"/>
  <c r="U10" i="2"/>
  <c r="V10" i="2" s="1"/>
  <c r="AM4" i="2" l="1"/>
  <c r="AM43" i="2"/>
  <c r="AG4" i="2"/>
  <c r="AG43" i="2"/>
  <c r="AJ43" i="2"/>
  <c r="AJ4" i="2"/>
  <c r="AK10" i="2"/>
  <c r="X42" i="5"/>
  <c r="Y11" i="5"/>
  <c r="AJ42" i="5"/>
  <c r="AK11" i="5"/>
  <c r="AM42" i="5"/>
  <c r="AN11" i="5"/>
  <c r="R42" i="5"/>
  <c r="S11" i="5"/>
  <c r="AA42" i="5"/>
  <c r="AB11" i="5"/>
  <c r="AG42" i="5"/>
  <c r="AG4" i="5"/>
  <c r="AA4" i="5"/>
  <c r="AD42" i="5"/>
  <c r="AD4" i="5"/>
  <c r="O42" i="5"/>
  <c r="O4" i="5"/>
  <c r="R4" i="5"/>
  <c r="AM4" i="5"/>
  <c r="AJ4" i="5"/>
  <c r="X4" i="5"/>
  <c r="U4" i="5"/>
  <c r="V11" i="5"/>
  <c r="Y10" i="2"/>
  <c r="O4" i="2"/>
  <c r="X4" i="2"/>
  <c r="AA43" i="2"/>
  <c r="AA4" i="2"/>
  <c r="S10" i="2"/>
  <c r="R4" i="2"/>
  <c r="N43" i="2"/>
  <c r="U4" i="2"/>
  <c r="AE10" i="2"/>
  <c r="AD43" i="2"/>
  <c r="U43" i="2"/>
  <c r="D10" i="12" l="1"/>
  <c r="D11" i="12" s="1"/>
  <c r="D12" i="12" s="1"/>
  <c r="D13" i="12" s="1"/>
  <c r="D14" i="12" s="1"/>
  <c r="D15" i="12" s="1"/>
  <c r="D16" i="12" l="1"/>
  <c r="D17" i="12" s="1"/>
  <c r="D18" i="12" s="1"/>
  <c r="D19" i="12" s="1"/>
  <c r="D20" i="12" s="1"/>
  <c r="D21" i="12" s="1"/>
  <c r="D22" i="12" s="1"/>
  <c r="E15" i="12"/>
  <c r="D23" i="12" l="1"/>
  <c r="D24" i="12" s="1"/>
  <c r="D25" i="12" s="1"/>
  <c r="D26" i="12" s="1"/>
  <c r="D27" i="12" s="1"/>
  <c r="D28" i="12" s="1"/>
  <c r="D29" i="12" s="1"/>
  <c r="E22" i="12"/>
  <c r="D30" i="12" l="1"/>
  <c r="D31" i="12" s="1"/>
  <c r="D32" i="12" s="1"/>
  <c r="D33" i="12" s="1"/>
  <c r="D34" i="12" s="1"/>
  <c r="E29" i="12"/>
  <c r="D35" i="12" l="1"/>
  <c r="D36" i="12" s="1"/>
  <c r="D37" i="12" s="1"/>
  <c r="D38" i="12" s="1"/>
  <c r="D39" i="12" s="1"/>
  <c r="D40" i="12" s="1"/>
  <c r="D41" i="12" s="1"/>
  <c r="E34" i="12"/>
  <c r="N3" i="7"/>
  <c r="Q4" i="7" s="1"/>
  <c r="O3" i="7"/>
  <c r="H3" i="7" s="1"/>
  <c r="I3" i="7" s="1"/>
  <c r="N4" i="7"/>
  <c r="O4" i="7"/>
  <c r="N5" i="7"/>
  <c r="O5" i="7"/>
  <c r="N6" i="7"/>
  <c r="O6" i="7"/>
  <c r="N7" i="7"/>
  <c r="O7" i="7"/>
  <c r="N8" i="7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3" i="11"/>
  <c r="O3" i="11"/>
  <c r="H3" i="11" s="1"/>
  <c r="I3" i="11" s="1"/>
  <c r="N4" i="11"/>
  <c r="O4" i="11"/>
  <c r="N5" i="11"/>
  <c r="O5" i="11"/>
  <c r="N6" i="11"/>
  <c r="O6" i="11"/>
  <c r="N7" i="11"/>
  <c r="O7" i="11"/>
  <c r="N8" i="11"/>
  <c r="O8" i="11"/>
  <c r="N9" i="11"/>
  <c r="O9" i="11"/>
  <c r="N10" i="11"/>
  <c r="O10" i="11"/>
  <c r="N11" i="11"/>
  <c r="O11" i="11"/>
  <c r="N12" i="11"/>
  <c r="O12" i="11"/>
  <c r="N13" i="11"/>
  <c r="O13" i="11"/>
  <c r="N14" i="11"/>
  <c r="O14" i="11"/>
  <c r="N15" i="11"/>
  <c r="O15" i="11"/>
  <c r="N16" i="11"/>
  <c r="O16" i="11"/>
  <c r="N17" i="11"/>
  <c r="O17" i="11"/>
  <c r="N18" i="11"/>
  <c r="O18" i="11"/>
  <c r="N19" i="11"/>
  <c r="O19" i="11"/>
  <c r="N20" i="11"/>
  <c r="O20" i="11"/>
  <c r="N21" i="11"/>
  <c r="O21" i="11"/>
  <c r="N22" i="11"/>
  <c r="O22" i="11"/>
  <c r="N23" i="11"/>
  <c r="O23" i="11"/>
  <c r="N24" i="11"/>
  <c r="O24" i="11"/>
  <c r="N25" i="11"/>
  <c r="O25" i="11"/>
  <c r="N26" i="11"/>
  <c r="O26" i="11"/>
  <c r="N27" i="11"/>
  <c r="O27" i="11"/>
  <c r="N28" i="11"/>
  <c r="O28" i="11"/>
  <c r="N29" i="11"/>
  <c r="O29" i="11"/>
  <c r="N30" i="11"/>
  <c r="O30" i="11"/>
  <c r="N31" i="11"/>
  <c r="O31" i="11"/>
  <c r="N32" i="11"/>
  <c r="O32" i="11"/>
  <c r="N33" i="11"/>
  <c r="O33" i="11"/>
  <c r="N34" i="11"/>
  <c r="O34" i="11"/>
  <c r="N35" i="11"/>
  <c r="O35" i="11"/>
  <c r="N36" i="11"/>
  <c r="O36" i="11"/>
  <c r="N37" i="11"/>
  <c r="O37" i="11"/>
  <c r="N38" i="11"/>
  <c r="O38" i="11"/>
  <c r="N39" i="11"/>
  <c r="O39" i="11"/>
  <c r="N40" i="11"/>
  <c r="O40" i="11"/>
  <c r="D42" i="12" l="1"/>
  <c r="D43" i="12" s="1"/>
  <c r="D44" i="12" s="1"/>
  <c r="D45" i="12" s="1"/>
  <c r="D46" i="12" s="1"/>
  <c r="D47" i="12" s="1"/>
  <c r="D48" i="12" s="1"/>
  <c r="E41" i="12"/>
  <c r="D4" i="11"/>
  <c r="AJ3" i="11"/>
  <c r="AJ4" i="11" s="1"/>
  <c r="AJ5" i="11" s="1"/>
  <c r="AJ6" i="11" s="1"/>
  <c r="AJ7" i="11" s="1"/>
  <c r="AJ8" i="11" s="1"/>
  <c r="AJ9" i="11" s="1"/>
  <c r="AJ10" i="11" s="1"/>
  <c r="AJ11" i="11" s="1"/>
  <c r="AJ12" i="11" s="1"/>
  <c r="AJ13" i="11" s="1"/>
  <c r="AJ14" i="11" s="1"/>
  <c r="AJ15" i="11" s="1"/>
  <c r="AJ16" i="11" s="1"/>
  <c r="AJ17" i="11" s="1"/>
  <c r="AJ18" i="11" s="1"/>
  <c r="AJ19" i="11" s="1"/>
  <c r="AJ20" i="11" s="1"/>
  <c r="AJ21" i="11" s="1"/>
  <c r="AJ22" i="11" s="1"/>
  <c r="AJ23" i="11" s="1"/>
  <c r="AJ24" i="11" s="1"/>
  <c r="AJ25" i="11" s="1"/>
  <c r="AJ26" i="11" s="1"/>
  <c r="AJ27" i="11" s="1"/>
  <c r="AJ28" i="11" s="1"/>
  <c r="AJ29" i="11" s="1"/>
  <c r="AJ30" i="11" s="1"/>
  <c r="AJ31" i="11" s="1"/>
  <c r="AJ32" i="11" s="1"/>
  <c r="AJ33" i="11" s="1"/>
  <c r="AJ34" i="11" s="1"/>
  <c r="AJ35" i="11" s="1"/>
  <c r="AJ36" i="11" s="1"/>
  <c r="AJ37" i="11" s="1"/>
  <c r="AJ38" i="11" s="1"/>
  <c r="AJ39" i="11" s="1"/>
  <c r="AJ40" i="11" s="1"/>
  <c r="Q4" i="11"/>
  <c r="Q5" i="11" s="1"/>
  <c r="Q6" i="11" s="1"/>
  <c r="Q7" i="11" s="1"/>
  <c r="Q8" i="11" s="1"/>
  <c r="Q9" i="11" s="1"/>
  <c r="Q10" i="11" s="1"/>
  <c r="Q11" i="11" s="1"/>
  <c r="Q12" i="11" s="1"/>
  <c r="Q13" i="11" s="1"/>
  <c r="Q14" i="11" s="1"/>
  <c r="Q15" i="11" s="1"/>
  <c r="Q16" i="11" s="1"/>
  <c r="Q17" i="11" s="1"/>
  <c r="Q18" i="11" s="1"/>
  <c r="Q19" i="11" s="1"/>
  <c r="Q20" i="11" s="1"/>
  <c r="Q21" i="11" s="1"/>
  <c r="Q22" i="11" s="1"/>
  <c r="Q23" i="11" s="1"/>
  <c r="Q24" i="11" s="1"/>
  <c r="Q25" i="11" s="1"/>
  <c r="Q26" i="11" s="1"/>
  <c r="Q27" i="11" s="1"/>
  <c r="Q28" i="11" s="1"/>
  <c r="Q29" i="11" s="1"/>
  <c r="Q30" i="11" s="1"/>
  <c r="Q31" i="11" s="1"/>
  <c r="Q32" i="11" s="1"/>
  <c r="Q33" i="11" s="1"/>
  <c r="Q34" i="11" s="1"/>
  <c r="Q35" i="11" s="1"/>
  <c r="Q36" i="11" s="1"/>
  <c r="Q37" i="11" s="1"/>
  <c r="Q38" i="11" s="1"/>
  <c r="Q39" i="11" s="1"/>
  <c r="Q40" i="11" s="1"/>
  <c r="AI3" i="11"/>
  <c r="AI4" i="11" s="1"/>
  <c r="AI5" i="11" s="1"/>
  <c r="AI6" i="11" s="1"/>
  <c r="AI7" i="11" s="1"/>
  <c r="AI8" i="11" s="1"/>
  <c r="AI9" i="11" s="1"/>
  <c r="AI10" i="11" s="1"/>
  <c r="AI11" i="11" s="1"/>
  <c r="AI12" i="11" s="1"/>
  <c r="AI13" i="11" s="1"/>
  <c r="AI14" i="11" s="1"/>
  <c r="AI15" i="11" s="1"/>
  <c r="AI16" i="11" s="1"/>
  <c r="AI17" i="11" s="1"/>
  <c r="AI18" i="11" s="1"/>
  <c r="AI19" i="11" s="1"/>
  <c r="AI20" i="11" s="1"/>
  <c r="AI21" i="11" s="1"/>
  <c r="AI22" i="11" s="1"/>
  <c r="AI23" i="11" s="1"/>
  <c r="AI24" i="11" s="1"/>
  <c r="AI25" i="11" s="1"/>
  <c r="AI26" i="11" s="1"/>
  <c r="AI27" i="11" s="1"/>
  <c r="AI28" i="11" s="1"/>
  <c r="AI29" i="11" s="1"/>
  <c r="AI30" i="11" s="1"/>
  <c r="AI31" i="11" s="1"/>
  <c r="AI32" i="11" s="1"/>
  <c r="AI33" i="11" s="1"/>
  <c r="AI34" i="11" s="1"/>
  <c r="AI35" i="11" s="1"/>
  <c r="AI36" i="11" s="1"/>
  <c r="AI37" i="11" s="1"/>
  <c r="AI38" i="11" s="1"/>
  <c r="AI39" i="11" s="1"/>
  <c r="AI40" i="11" s="1"/>
  <c r="Q5" i="7"/>
  <c r="Q6" i="7" s="1"/>
  <c r="Q7" i="7" s="1"/>
  <c r="Q8" i="7" s="1"/>
  <c r="Q9" i="7" s="1"/>
  <c r="Q10" i="7" s="1"/>
  <c r="Q11" i="7" s="1"/>
  <c r="Q12" i="7" s="1"/>
  <c r="Q13" i="7" s="1"/>
  <c r="Q14" i="7" s="1"/>
  <c r="Q15" i="7" s="1"/>
  <c r="Q16" i="7" s="1"/>
  <c r="Q17" i="7" s="1"/>
  <c r="Q18" i="7" s="1"/>
  <c r="Q19" i="7" s="1"/>
  <c r="Q20" i="7" s="1"/>
  <c r="Q21" i="7" s="1"/>
  <c r="Q22" i="7" s="1"/>
  <c r="Q23" i="7" s="1"/>
  <c r="Q24" i="7" s="1"/>
  <c r="Q25" i="7" s="1"/>
  <c r="Q26" i="7" s="1"/>
  <c r="Q27" i="7" s="1"/>
  <c r="Q28" i="7" s="1"/>
  <c r="Q29" i="7" s="1"/>
  <c r="Q30" i="7" s="1"/>
  <c r="Q31" i="7" s="1"/>
  <c r="Q32" i="7" s="1"/>
  <c r="Q33" i="7" s="1"/>
  <c r="Q34" i="7" s="1"/>
  <c r="Q35" i="7" s="1"/>
  <c r="Q36" i="7" s="1"/>
  <c r="Q37" i="7" s="1"/>
  <c r="Q38" i="7" s="1"/>
  <c r="Q39" i="7" s="1"/>
  <c r="Q40" i="7" s="1"/>
  <c r="N42" i="7"/>
  <c r="Z4" i="7"/>
  <c r="Z5" i="7" s="1"/>
  <c r="Z6" i="7" s="1"/>
  <c r="Z7" i="7" s="1"/>
  <c r="Z8" i="7" s="1"/>
  <c r="Z9" i="7" s="1"/>
  <c r="Z10" i="7" s="1"/>
  <c r="Z11" i="7" s="1"/>
  <c r="Z12" i="7" s="1"/>
  <c r="Z13" i="7" s="1"/>
  <c r="Z14" i="7" s="1"/>
  <c r="Z15" i="7" s="1"/>
  <c r="Z16" i="7" s="1"/>
  <c r="Z17" i="7" s="1"/>
  <c r="Z18" i="7" s="1"/>
  <c r="Z19" i="7" s="1"/>
  <c r="Z20" i="7" s="1"/>
  <c r="Z21" i="7" s="1"/>
  <c r="Z22" i="7" s="1"/>
  <c r="Z23" i="7" s="1"/>
  <c r="Z24" i="7" s="1"/>
  <c r="Z25" i="7" s="1"/>
  <c r="Z26" i="7" s="1"/>
  <c r="Z27" i="7" s="1"/>
  <c r="Z28" i="7" s="1"/>
  <c r="Z29" i="7" s="1"/>
  <c r="Z30" i="7" s="1"/>
  <c r="Z31" i="7" s="1"/>
  <c r="Z32" i="7" s="1"/>
  <c r="Z33" i="7" s="1"/>
  <c r="Z34" i="7" s="1"/>
  <c r="Z35" i="7" s="1"/>
  <c r="Z36" i="7" s="1"/>
  <c r="Z37" i="7" s="1"/>
  <c r="Z38" i="7" s="1"/>
  <c r="Z39" i="7" s="1"/>
  <c r="Z40" i="7" s="1"/>
  <c r="AJ3" i="7"/>
  <c r="AJ4" i="7" s="1"/>
  <c r="AJ5" i="7" s="1"/>
  <c r="AJ6" i="7" s="1"/>
  <c r="AJ7" i="7" s="1"/>
  <c r="AJ8" i="7" s="1"/>
  <c r="AJ9" i="7" s="1"/>
  <c r="AJ10" i="7" s="1"/>
  <c r="AJ11" i="7" s="1"/>
  <c r="AJ12" i="7" s="1"/>
  <c r="AJ13" i="7" s="1"/>
  <c r="AJ14" i="7" s="1"/>
  <c r="AJ15" i="7" s="1"/>
  <c r="AJ16" i="7" s="1"/>
  <c r="AJ17" i="7" s="1"/>
  <c r="AJ18" i="7" s="1"/>
  <c r="AJ19" i="7" s="1"/>
  <c r="AJ20" i="7" s="1"/>
  <c r="AJ21" i="7" s="1"/>
  <c r="AJ22" i="7" s="1"/>
  <c r="AJ23" i="7" s="1"/>
  <c r="AJ24" i="7" s="1"/>
  <c r="AJ25" i="7" s="1"/>
  <c r="AJ26" i="7" s="1"/>
  <c r="AJ27" i="7" s="1"/>
  <c r="AJ28" i="7" s="1"/>
  <c r="AJ29" i="7" s="1"/>
  <c r="AJ30" i="7" s="1"/>
  <c r="AJ31" i="7" s="1"/>
  <c r="AJ32" i="7" s="1"/>
  <c r="AJ33" i="7" s="1"/>
  <c r="AJ34" i="7" s="1"/>
  <c r="AJ35" i="7" s="1"/>
  <c r="AJ36" i="7" s="1"/>
  <c r="AJ37" i="7" s="1"/>
  <c r="AJ38" i="7" s="1"/>
  <c r="AJ39" i="7" s="1"/>
  <c r="AJ40" i="7" s="1"/>
  <c r="AK3" i="11"/>
  <c r="C4" i="11"/>
  <c r="O42" i="7"/>
  <c r="O42" i="11"/>
  <c r="N42" i="11"/>
  <c r="AK3" i="7"/>
  <c r="C4" i="7"/>
  <c r="D49" i="12" l="1"/>
  <c r="D50" i="12" s="1"/>
  <c r="D51" i="12" s="1"/>
  <c r="D52" i="12" s="1"/>
  <c r="D53" i="12" s="1"/>
  <c r="D54" i="12" s="1"/>
  <c r="D55" i="12" s="1"/>
  <c r="D63" i="12" s="1"/>
  <c r="D64" i="12" s="1"/>
  <c r="D65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19" i="12" s="1"/>
  <c r="D120" i="12" s="1"/>
  <c r="D121" i="12" s="1"/>
  <c r="D122" i="12" s="1"/>
  <c r="D123" i="12" s="1"/>
  <c r="D124" i="12" s="1"/>
  <c r="D125" i="12" s="1"/>
  <c r="D126" i="12" s="1"/>
  <c r="D127" i="12" s="1"/>
  <c r="D128" i="12" s="1"/>
  <c r="D129" i="12" s="1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D159" i="12" s="1"/>
  <c r="D160" i="12" s="1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E48" i="12"/>
  <c r="AN3" i="11"/>
  <c r="AL3" i="11" s="1"/>
  <c r="AL3" i="7"/>
  <c r="E4" i="7"/>
  <c r="H4" i="7"/>
  <c r="I4" i="7" s="1"/>
  <c r="J4" i="7"/>
  <c r="E4" i="11"/>
  <c r="F4" i="11" s="1"/>
  <c r="Z4" i="11" s="1"/>
  <c r="H4" i="11"/>
  <c r="J4" i="11"/>
  <c r="X4" i="7" l="1"/>
  <c r="AK4" i="7"/>
  <c r="AL4" i="7" s="1"/>
  <c r="C5" i="7"/>
  <c r="K4" i="11"/>
  <c r="K4" i="7"/>
  <c r="F4" i="7"/>
  <c r="D5" i="7" l="1"/>
  <c r="G4" i="7"/>
  <c r="G4" i="11"/>
  <c r="D5" i="11"/>
  <c r="I4" i="11"/>
  <c r="H5" i="7"/>
  <c r="I5" i="7" l="1"/>
  <c r="X5" i="7" s="1"/>
  <c r="X4" i="11"/>
  <c r="AK4" i="11"/>
  <c r="AN4" i="11" s="1"/>
  <c r="C5" i="11"/>
  <c r="J5" i="11" s="1"/>
  <c r="J5" i="7"/>
  <c r="E5" i="7"/>
  <c r="C6" i="7" l="1"/>
  <c r="H6" i="7" s="1"/>
  <c r="AK5" i="7"/>
  <c r="AL5" i="7" s="1"/>
  <c r="E5" i="11"/>
  <c r="F5" i="11" s="1"/>
  <c r="K5" i="7"/>
  <c r="F5" i="7"/>
  <c r="AL4" i="11"/>
  <c r="H5" i="11"/>
  <c r="K5" i="11" l="1"/>
  <c r="Z5" i="11"/>
  <c r="D6" i="7"/>
  <c r="G5" i="7"/>
  <c r="I5" i="11" l="1"/>
  <c r="X5" i="11" s="1"/>
  <c r="D6" i="11"/>
  <c r="G5" i="11"/>
  <c r="J6" i="7"/>
  <c r="E6" i="7"/>
  <c r="I6" i="7"/>
  <c r="AK5" i="11" l="1"/>
  <c r="AN5" i="11" s="1"/>
  <c r="AL5" i="11" s="1"/>
  <c r="C6" i="11"/>
  <c r="H6" i="11" s="1"/>
  <c r="X6" i="7"/>
  <c r="AK6" i="7"/>
  <c r="AL6" i="7" s="1"/>
  <c r="C7" i="7"/>
  <c r="K6" i="7"/>
  <c r="F6" i="7"/>
  <c r="E6" i="11" l="1"/>
  <c r="F6" i="11" s="1"/>
  <c r="J6" i="11"/>
  <c r="D7" i="7"/>
  <c r="G6" i="7"/>
  <c r="H7" i="7"/>
  <c r="D7" i="11" l="1"/>
  <c r="Z6" i="11"/>
  <c r="K6" i="11"/>
  <c r="I6" i="11"/>
  <c r="C7" i="11" s="1"/>
  <c r="G6" i="11"/>
  <c r="I7" i="7"/>
  <c r="X7" i="7" s="1"/>
  <c r="J7" i="7"/>
  <c r="E7" i="7"/>
  <c r="E7" i="11" l="1"/>
  <c r="F7" i="11" s="1"/>
  <c r="AK6" i="11"/>
  <c r="AN6" i="11" s="1"/>
  <c r="AL6" i="11" s="1"/>
  <c r="X6" i="11"/>
  <c r="C8" i="7"/>
  <c r="H8" i="7" s="1"/>
  <c r="AK7" i="7"/>
  <c r="AL7" i="7" s="1"/>
  <c r="J7" i="11"/>
  <c r="H7" i="11"/>
  <c r="K7" i="7"/>
  <c r="F7" i="7"/>
  <c r="K7" i="11" l="1"/>
  <c r="Z7" i="11"/>
  <c r="G7" i="7"/>
  <c r="D8" i="7"/>
  <c r="D8" i="11" l="1"/>
  <c r="G7" i="11"/>
  <c r="I7" i="11"/>
  <c r="AK7" i="11" s="1"/>
  <c r="AN7" i="11" s="1"/>
  <c r="AL7" i="11" s="1"/>
  <c r="J8" i="7"/>
  <c r="E8" i="7"/>
  <c r="I8" i="7"/>
  <c r="C8" i="11" l="1"/>
  <c r="E8" i="11" s="1"/>
  <c r="F8" i="11" s="1"/>
  <c r="X7" i="11"/>
  <c r="K8" i="7"/>
  <c r="F8" i="7"/>
  <c r="X8" i="7"/>
  <c r="AK8" i="7"/>
  <c r="AL8" i="7" s="1"/>
  <c r="C9" i="7"/>
  <c r="Z8" i="11" l="1"/>
  <c r="K8" i="11"/>
  <c r="H8" i="11"/>
  <c r="J8" i="11"/>
  <c r="D9" i="7"/>
  <c r="G8" i="7"/>
  <c r="H9" i="7"/>
  <c r="G8" i="11" l="1"/>
  <c r="D9" i="11"/>
  <c r="F9" i="11" s="1"/>
  <c r="I8" i="11"/>
  <c r="AK8" i="11" s="1"/>
  <c r="AN8" i="11" s="1"/>
  <c r="AL8" i="11" s="1"/>
  <c r="I9" i="7"/>
  <c r="AK9" i="7" s="1"/>
  <c r="AL9" i="7" s="1"/>
  <c r="J9" i="7"/>
  <c r="E9" i="7"/>
  <c r="X8" i="11" l="1"/>
  <c r="C9" i="11"/>
  <c r="J9" i="11" s="1"/>
  <c r="X9" i="7"/>
  <c r="C10" i="7"/>
  <c r="H10" i="7" s="1"/>
  <c r="K9" i="7"/>
  <c r="F9" i="7"/>
  <c r="Z9" i="11" l="1"/>
  <c r="H9" i="11"/>
  <c r="G9" i="7"/>
  <c r="D10" i="7"/>
  <c r="K9" i="11" l="1"/>
  <c r="D10" i="11"/>
  <c r="G9" i="11"/>
  <c r="I9" i="11"/>
  <c r="J10" i="7"/>
  <c r="E10" i="7"/>
  <c r="I10" i="7"/>
  <c r="X10" i="7" l="1"/>
  <c r="AK10" i="7"/>
  <c r="AL10" i="7" s="1"/>
  <c r="C11" i="7"/>
  <c r="F10" i="7"/>
  <c r="K10" i="7"/>
  <c r="X9" i="11"/>
  <c r="AK9" i="11"/>
  <c r="AN9" i="11" s="1"/>
  <c r="AL9" i="11" s="1"/>
  <c r="C10" i="11"/>
  <c r="E10" i="11" s="1"/>
  <c r="F10" i="11" s="1"/>
  <c r="J10" i="11" l="1"/>
  <c r="K10" i="11"/>
  <c r="Z10" i="11"/>
  <c r="H10" i="11"/>
  <c r="G10" i="7"/>
  <c r="D11" i="7"/>
  <c r="H11" i="7"/>
  <c r="I10" i="11" l="1"/>
  <c r="I11" i="7"/>
  <c r="E11" i="7"/>
  <c r="J11" i="7"/>
  <c r="D11" i="11"/>
  <c r="G10" i="11"/>
  <c r="AK10" i="11" l="1"/>
  <c r="AN10" i="11" s="1"/>
  <c r="AL10" i="11" s="1"/>
  <c r="C11" i="11"/>
  <c r="X10" i="11"/>
  <c r="X11" i="7"/>
  <c r="C12" i="7"/>
  <c r="H12" i="7" s="1"/>
  <c r="AK11" i="7"/>
  <c r="AL11" i="7" s="1"/>
  <c r="F11" i="7"/>
  <c r="K11" i="7"/>
  <c r="J11" i="11" l="1"/>
  <c r="E3" i="8"/>
  <c r="H11" i="11"/>
  <c r="E11" i="11"/>
  <c r="F11" i="11" s="1"/>
  <c r="D12" i="7"/>
  <c r="G11" i="7"/>
  <c r="K11" i="11" l="1"/>
  <c r="E12" i="7"/>
  <c r="J12" i="7"/>
  <c r="I12" i="7"/>
  <c r="I3" i="8" l="1"/>
  <c r="Z11" i="11"/>
  <c r="G11" i="11"/>
  <c r="I11" i="11"/>
  <c r="D12" i="11"/>
  <c r="C13" i="7"/>
  <c r="X12" i="7"/>
  <c r="AK12" i="7"/>
  <c r="AL12" i="7" s="1"/>
  <c r="F12" i="7"/>
  <c r="K12" i="7"/>
  <c r="F3" i="8" l="1"/>
  <c r="G3" i="8" s="1"/>
  <c r="C12" i="11"/>
  <c r="X11" i="11"/>
  <c r="AK11" i="11"/>
  <c r="AN11" i="11" s="1"/>
  <c r="AL11" i="11" s="1"/>
  <c r="D13" i="7"/>
  <c r="G12" i="7"/>
  <c r="H13" i="7"/>
  <c r="J12" i="11" l="1"/>
  <c r="E4" i="8"/>
  <c r="F4" i="8" s="1"/>
  <c r="G4" i="8" s="1"/>
  <c r="E12" i="11"/>
  <c r="F12" i="11" s="1"/>
  <c r="H12" i="11"/>
  <c r="I13" i="7"/>
  <c r="E13" i="7"/>
  <c r="J13" i="7"/>
  <c r="I4" i="8" l="1"/>
  <c r="Z12" i="11"/>
  <c r="K12" i="11"/>
  <c r="C14" i="7"/>
  <c r="H14" i="7" s="1"/>
  <c r="X13" i="7"/>
  <c r="AK13" i="7"/>
  <c r="AL13" i="7" s="1"/>
  <c r="F13" i="7"/>
  <c r="K13" i="7"/>
  <c r="G12" i="11"/>
  <c r="D13" i="11"/>
  <c r="I12" i="11"/>
  <c r="C13" i="11" l="1"/>
  <c r="E5" i="8" s="1"/>
  <c r="F5" i="8" s="1"/>
  <c r="G5" i="8" s="1"/>
  <c r="X12" i="11"/>
  <c r="AK12" i="11"/>
  <c r="AN12" i="11" s="1"/>
  <c r="AL12" i="11" s="1"/>
  <c r="D14" i="7"/>
  <c r="G13" i="7"/>
  <c r="E14" i="7" l="1"/>
  <c r="J14" i="7"/>
  <c r="I14" i="7"/>
  <c r="H13" i="11"/>
  <c r="J13" i="11"/>
  <c r="E13" i="11"/>
  <c r="F13" i="11" s="1"/>
  <c r="K13" i="11" l="1"/>
  <c r="AK14" i="7"/>
  <c r="AL14" i="7" s="1"/>
  <c r="C15" i="7"/>
  <c r="X14" i="7"/>
  <c r="F14" i="7"/>
  <c r="K14" i="7"/>
  <c r="I5" i="8" l="1"/>
  <c r="Z13" i="11"/>
  <c r="D15" i="7"/>
  <c r="G14" i="7"/>
  <c r="H15" i="7"/>
  <c r="G13" i="11"/>
  <c r="D14" i="11"/>
  <c r="I13" i="11"/>
  <c r="I15" i="7" l="1"/>
  <c r="AK15" i="7" s="1"/>
  <c r="AL15" i="7" s="1"/>
  <c r="AK13" i="11"/>
  <c r="AN13" i="11" s="1"/>
  <c r="AL13" i="11" s="1"/>
  <c r="C14" i="11"/>
  <c r="X13" i="11"/>
  <c r="E15" i="7"/>
  <c r="J15" i="7"/>
  <c r="E14" i="11" l="1"/>
  <c r="F14" i="11" s="1"/>
  <c r="E6" i="8"/>
  <c r="F6" i="8" s="1"/>
  <c r="G6" i="8" s="1"/>
  <c r="X15" i="7"/>
  <c r="C16" i="7"/>
  <c r="H16" i="7" s="1"/>
  <c r="J14" i="11"/>
  <c r="H14" i="11"/>
  <c r="F15" i="7"/>
  <c r="K15" i="7"/>
  <c r="I6" i="8" l="1"/>
  <c r="Z14" i="11"/>
  <c r="K14" i="11"/>
  <c r="I14" i="11"/>
  <c r="D16" i="7"/>
  <c r="G15" i="7"/>
  <c r="G14" i="11"/>
  <c r="D15" i="11"/>
  <c r="X14" i="11" l="1"/>
  <c r="C15" i="11"/>
  <c r="AK14" i="11"/>
  <c r="AN14" i="11" s="1"/>
  <c r="AL14" i="11" s="1"/>
  <c r="E16" i="7"/>
  <c r="J16" i="7"/>
  <c r="I16" i="7"/>
  <c r="J15" i="11" l="1"/>
  <c r="E7" i="8"/>
  <c r="F7" i="8" s="1"/>
  <c r="G7" i="8" s="1"/>
  <c r="H15" i="11"/>
  <c r="E15" i="11"/>
  <c r="F15" i="11" s="1"/>
  <c r="AK16" i="7"/>
  <c r="AL16" i="7" s="1"/>
  <c r="C17" i="7"/>
  <c r="X16" i="7"/>
  <c r="F16" i="7"/>
  <c r="K16" i="7"/>
  <c r="K15" i="11" l="1"/>
  <c r="D17" i="7"/>
  <c r="G16" i="7"/>
  <c r="H17" i="7"/>
  <c r="I7" i="8" l="1"/>
  <c r="Z15" i="11"/>
  <c r="D16" i="11"/>
  <c r="G15" i="11"/>
  <c r="I15" i="11"/>
  <c r="I17" i="7"/>
  <c r="X17" i="7" s="1"/>
  <c r="E17" i="7"/>
  <c r="J17" i="7"/>
  <c r="X15" i="11" l="1"/>
  <c r="C16" i="11"/>
  <c r="AK15" i="11"/>
  <c r="AN15" i="11" s="1"/>
  <c r="AL15" i="11" s="1"/>
  <c r="C18" i="7"/>
  <c r="H18" i="7" s="1"/>
  <c r="AK17" i="7"/>
  <c r="AL17" i="7" s="1"/>
  <c r="F17" i="7"/>
  <c r="K17" i="7"/>
  <c r="J16" i="11" l="1"/>
  <c r="E8" i="8"/>
  <c r="F8" i="8" s="1"/>
  <c r="G8" i="8" s="1"/>
  <c r="H16" i="11"/>
  <c r="E16" i="11"/>
  <c r="F16" i="11" s="1"/>
  <c r="D18" i="7"/>
  <c r="G17" i="7"/>
  <c r="K16" i="11" l="1"/>
  <c r="E18" i="7"/>
  <c r="J18" i="7"/>
  <c r="I18" i="7"/>
  <c r="I8" i="8" l="1"/>
  <c r="Z16" i="11"/>
  <c r="G16" i="11"/>
  <c r="D17" i="11"/>
  <c r="I16" i="11"/>
  <c r="X18" i="7"/>
  <c r="AK18" i="7"/>
  <c r="AL18" i="7" s="1"/>
  <c r="C19" i="7"/>
  <c r="F18" i="7"/>
  <c r="K18" i="7"/>
  <c r="X16" i="11" l="1"/>
  <c r="C17" i="11"/>
  <c r="AK16" i="11"/>
  <c r="AN16" i="11" s="1"/>
  <c r="AL16" i="11" s="1"/>
  <c r="D19" i="7"/>
  <c r="G18" i="7"/>
  <c r="H19" i="7"/>
  <c r="J17" i="11" l="1"/>
  <c r="E9" i="8"/>
  <c r="F9" i="8" s="1"/>
  <c r="G9" i="8" s="1"/>
  <c r="E17" i="11"/>
  <c r="F17" i="11" s="1"/>
  <c r="H17" i="11"/>
  <c r="I19" i="7"/>
  <c r="X19" i="7" s="1"/>
  <c r="E19" i="7"/>
  <c r="J19" i="7"/>
  <c r="K17" i="11" l="1"/>
  <c r="C20" i="7"/>
  <c r="H20" i="7" s="1"/>
  <c r="AK19" i="7"/>
  <c r="AL19" i="7" s="1"/>
  <c r="F19" i="7"/>
  <c r="K19" i="7"/>
  <c r="I9" i="8" l="1"/>
  <c r="Z17" i="11"/>
  <c r="G17" i="11"/>
  <c r="D18" i="11"/>
  <c r="I17" i="11"/>
  <c r="D20" i="7"/>
  <c r="G19" i="7"/>
  <c r="C18" i="11" l="1"/>
  <c r="X17" i="11"/>
  <c r="AK17" i="11"/>
  <c r="AN17" i="11" s="1"/>
  <c r="AL17" i="11" s="1"/>
  <c r="E20" i="7"/>
  <c r="J20" i="7"/>
  <c r="I20" i="7"/>
  <c r="J18" i="11" l="1"/>
  <c r="E10" i="8"/>
  <c r="F10" i="8" s="1"/>
  <c r="G10" i="8" s="1"/>
  <c r="H18" i="11"/>
  <c r="E18" i="11"/>
  <c r="F18" i="11" s="1"/>
  <c r="X20" i="7"/>
  <c r="AK20" i="7"/>
  <c r="AL20" i="7" s="1"/>
  <c r="C21" i="7"/>
  <c r="K20" i="7"/>
  <c r="F20" i="7"/>
  <c r="I10" i="8" l="1"/>
  <c r="Z18" i="11"/>
  <c r="G18" i="11"/>
  <c r="K18" i="11"/>
  <c r="I18" i="11"/>
  <c r="D19" i="11"/>
  <c r="D21" i="7"/>
  <c r="G20" i="7"/>
  <c r="H21" i="7"/>
  <c r="C19" i="11" l="1"/>
  <c r="AK18" i="11"/>
  <c r="AN18" i="11" s="1"/>
  <c r="AL18" i="11" s="1"/>
  <c r="X18" i="11"/>
  <c r="I21" i="7"/>
  <c r="J21" i="7"/>
  <c r="E21" i="7"/>
  <c r="H19" i="11" l="1"/>
  <c r="E11" i="8"/>
  <c r="F11" i="8" s="1"/>
  <c r="G11" i="8" s="1"/>
  <c r="J19" i="11"/>
  <c r="E19" i="11"/>
  <c r="F19" i="11" s="1"/>
  <c r="C22" i="7"/>
  <c r="H22" i="7" s="1"/>
  <c r="X21" i="7"/>
  <c r="AK21" i="7"/>
  <c r="AL21" i="7" s="1"/>
  <c r="K21" i="7"/>
  <c r="F21" i="7"/>
  <c r="I11" i="8" l="1"/>
  <c r="Z19" i="11"/>
  <c r="G19" i="11"/>
  <c r="K19" i="11"/>
  <c r="D20" i="11"/>
  <c r="I19" i="11"/>
  <c r="X19" i="11" s="1"/>
  <c r="D22" i="7"/>
  <c r="G21" i="7"/>
  <c r="AK19" i="11" l="1"/>
  <c r="AN19" i="11" s="1"/>
  <c r="AL19" i="11" s="1"/>
  <c r="C20" i="11"/>
  <c r="J22" i="7"/>
  <c r="E22" i="7"/>
  <c r="I22" i="7"/>
  <c r="E20" i="11" l="1"/>
  <c r="F20" i="11" s="1"/>
  <c r="E12" i="8"/>
  <c r="F12" i="8" s="1"/>
  <c r="G12" i="8" s="1"/>
  <c r="J20" i="11"/>
  <c r="H20" i="11"/>
  <c r="X22" i="7"/>
  <c r="AK22" i="7"/>
  <c r="AL22" i="7" s="1"/>
  <c r="C23" i="7"/>
  <c r="K22" i="7"/>
  <c r="F22" i="7"/>
  <c r="K20" i="11" l="1"/>
  <c r="G22" i="7"/>
  <c r="D23" i="7"/>
  <c r="H23" i="7"/>
  <c r="I12" i="8" l="1"/>
  <c r="Z20" i="11"/>
  <c r="G20" i="11"/>
  <c r="I20" i="11"/>
  <c r="C21" i="11" s="1"/>
  <c r="E13" i="8" s="1"/>
  <c r="F13" i="8" s="1"/>
  <c r="G13" i="8" s="1"/>
  <c r="D21" i="11"/>
  <c r="I23" i="7"/>
  <c r="X23" i="7" s="1"/>
  <c r="J23" i="7"/>
  <c r="E23" i="7"/>
  <c r="H21" i="11" l="1"/>
  <c r="AK20" i="11"/>
  <c r="AN20" i="11" s="1"/>
  <c r="AL20" i="11" s="1"/>
  <c r="X20" i="11"/>
  <c r="E21" i="11"/>
  <c r="F21" i="11" s="1"/>
  <c r="J21" i="11"/>
  <c r="C24" i="7"/>
  <c r="H24" i="7" s="1"/>
  <c r="AK23" i="7"/>
  <c r="AL23" i="7" s="1"/>
  <c r="K23" i="7"/>
  <c r="F23" i="7"/>
  <c r="K21" i="11" l="1"/>
  <c r="G23" i="7"/>
  <c r="D24" i="7"/>
  <c r="I13" i="8" l="1"/>
  <c r="Z21" i="11"/>
  <c r="D22" i="11"/>
  <c r="I21" i="11"/>
  <c r="C22" i="11" s="1"/>
  <c r="G21" i="11"/>
  <c r="E24" i="7"/>
  <c r="J24" i="7"/>
  <c r="I24" i="7"/>
  <c r="X21" i="11" l="1"/>
  <c r="AK21" i="11"/>
  <c r="AN21" i="11" s="1"/>
  <c r="AL21" i="11" s="1"/>
  <c r="J22" i="11"/>
  <c r="E14" i="8"/>
  <c r="F14" i="8" s="1"/>
  <c r="G14" i="8" s="1"/>
  <c r="H22" i="11"/>
  <c r="E22" i="11"/>
  <c r="F22" i="11" s="1"/>
  <c r="F24" i="7"/>
  <c r="K24" i="7"/>
  <c r="C25" i="7"/>
  <c r="AK24" i="7"/>
  <c r="AL24" i="7" s="1"/>
  <c r="X24" i="7"/>
  <c r="K22" i="11" l="1"/>
  <c r="H25" i="7"/>
  <c r="G24" i="7"/>
  <c r="D25" i="7"/>
  <c r="I14" i="8" l="1"/>
  <c r="Z22" i="11"/>
  <c r="I22" i="11"/>
  <c r="AK22" i="11" s="1"/>
  <c r="AN22" i="11" s="1"/>
  <c r="AL22" i="11" s="1"/>
  <c r="G22" i="11"/>
  <c r="D23" i="11"/>
  <c r="E25" i="7"/>
  <c r="J25" i="7"/>
  <c r="I25" i="7"/>
  <c r="X22" i="11" l="1"/>
  <c r="C23" i="11"/>
  <c r="E23" i="11" s="1"/>
  <c r="F23" i="11" s="1"/>
  <c r="AK25" i="7"/>
  <c r="AL25" i="7" s="1"/>
  <c r="C26" i="7"/>
  <c r="X25" i="7"/>
  <c r="F25" i="7"/>
  <c r="K25" i="7"/>
  <c r="I15" i="8" l="1"/>
  <c r="Z23" i="11"/>
  <c r="J23" i="11"/>
  <c r="H23" i="11"/>
  <c r="I23" i="11" s="1"/>
  <c r="E15" i="8"/>
  <c r="F15" i="8" s="1"/>
  <c r="G15" i="8" s="1"/>
  <c r="D24" i="11"/>
  <c r="G23" i="11"/>
  <c r="K23" i="11"/>
  <c r="G25" i="7"/>
  <c r="D26" i="7"/>
  <c r="H26" i="7"/>
  <c r="C24" i="11" l="1"/>
  <c r="X23" i="11"/>
  <c r="AK23" i="11"/>
  <c r="AN23" i="11" s="1"/>
  <c r="AL23" i="11" s="1"/>
  <c r="I26" i="7"/>
  <c r="X26" i="7" s="1"/>
  <c r="E26" i="7"/>
  <c r="J26" i="7"/>
  <c r="J24" i="11" l="1"/>
  <c r="E16" i="8"/>
  <c r="F16" i="8" s="1"/>
  <c r="G16" i="8" s="1"/>
  <c r="H24" i="11"/>
  <c r="E24" i="11"/>
  <c r="F24" i="11" s="1"/>
  <c r="C27" i="7"/>
  <c r="H27" i="7" s="1"/>
  <c r="AK26" i="7"/>
  <c r="AL26" i="7" s="1"/>
  <c r="F26" i="7"/>
  <c r="K26" i="7"/>
  <c r="K24" i="11" l="1"/>
  <c r="G26" i="7"/>
  <c r="D27" i="7"/>
  <c r="I16" i="8" l="1"/>
  <c r="Z24" i="11"/>
  <c r="D25" i="11"/>
  <c r="I24" i="11"/>
  <c r="G24" i="11"/>
  <c r="E27" i="7"/>
  <c r="J27" i="7"/>
  <c r="I27" i="7"/>
  <c r="C25" i="11" l="1"/>
  <c r="AK24" i="11"/>
  <c r="AN24" i="11" s="1"/>
  <c r="AL24" i="11" s="1"/>
  <c r="X24" i="11"/>
  <c r="X27" i="7"/>
  <c r="AK27" i="7"/>
  <c r="AL27" i="7" s="1"/>
  <c r="C28" i="7"/>
  <c r="K27" i="7"/>
  <c r="F27" i="7"/>
  <c r="H25" i="11" l="1"/>
  <c r="E17" i="8"/>
  <c r="F17" i="8" s="1"/>
  <c r="G17" i="8" s="1"/>
  <c r="E25" i="11"/>
  <c r="F25" i="11" s="1"/>
  <c r="J25" i="11"/>
  <c r="H28" i="7"/>
  <c r="G27" i="7"/>
  <c r="D28" i="7"/>
  <c r="I17" i="8" l="1"/>
  <c r="Z25" i="11"/>
  <c r="K25" i="11"/>
  <c r="G25" i="11"/>
  <c r="D26" i="11"/>
  <c r="I25" i="11"/>
  <c r="J28" i="7"/>
  <c r="E28" i="7"/>
  <c r="I28" i="7"/>
  <c r="K28" i="7" l="1"/>
  <c r="F28" i="7"/>
  <c r="X28" i="7"/>
  <c r="AK28" i="7"/>
  <c r="AL28" i="7" s="1"/>
  <c r="C29" i="7"/>
  <c r="C26" i="11"/>
  <c r="X25" i="11"/>
  <c r="AK25" i="11"/>
  <c r="AN25" i="11" s="1"/>
  <c r="AL25" i="11" s="1"/>
  <c r="E26" i="11" l="1"/>
  <c r="F26" i="11" s="1"/>
  <c r="E18" i="8"/>
  <c r="F18" i="8" s="1"/>
  <c r="G18" i="8" s="1"/>
  <c r="J26" i="11"/>
  <c r="H26" i="11"/>
  <c r="H29" i="7"/>
  <c r="D29" i="7"/>
  <c r="G28" i="7"/>
  <c r="I18" i="8" l="1"/>
  <c r="Z26" i="11"/>
  <c r="K26" i="11"/>
  <c r="I26" i="11"/>
  <c r="J29" i="7"/>
  <c r="E29" i="7"/>
  <c r="I29" i="7"/>
  <c r="G26" i="11"/>
  <c r="D27" i="11"/>
  <c r="AK26" i="11" l="1"/>
  <c r="AN26" i="11" s="1"/>
  <c r="AL26" i="11" s="1"/>
  <c r="X26" i="11"/>
  <c r="C27" i="11"/>
  <c r="X29" i="7"/>
  <c r="AK29" i="7"/>
  <c r="AL29" i="7" s="1"/>
  <c r="C30" i="7"/>
  <c r="K29" i="7"/>
  <c r="F29" i="7"/>
  <c r="E27" i="11" l="1"/>
  <c r="F27" i="11" s="1"/>
  <c r="E19" i="8"/>
  <c r="F19" i="8" s="1"/>
  <c r="G19" i="8" s="1"/>
  <c r="J27" i="11"/>
  <c r="H27" i="11"/>
  <c r="G29" i="7"/>
  <c r="D30" i="7"/>
  <c r="H30" i="7"/>
  <c r="I19" i="8" l="1"/>
  <c r="Z27" i="11"/>
  <c r="K27" i="11"/>
  <c r="I30" i="7"/>
  <c r="G27" i="11"/>
  <c r="D28" i="11"/>
  <c r="I27" i="11"/>
  <c r="J30" i="7"/>
  <c r="E30" i="7"/>
  <c r="C31" i="7" l="1"/>
  <c r="H31" i="7" s="1"/>
  <c r="AK30" i="7"/>
  <c r="AL30" i="7" s="1"/>
  <c r="X30" i="7"/>
  <c r="K30" i="7"/>
  <c r="F30" i="7"/>
  <c r="X27" i="11"/>
  <c r="AK27" i="11"/>
  <c r="AN27" i="11" s="1"/>
  <c r="AL27" i="11" s="1"/>
  <c r="C28" i="11"/>
  <c r="J28" i="11" l="1"/>
  <c r="E20" i="8"/>
  <c r="F20" i="8" s="1"/>
  <c r="G20" i="8" s="1"/>
  <c r="E28" i="11"/>
  <c r="F28" i="11" s="1"/>
  <c r="H28" i="11"/>
  <c r="G30" i="7"/>
  <c r="D31" i="7"/>
  <c r="K28" i="11" l="1"/>
  <c r="J31" i="7"/>
  <c r="E31" i="7"/>
  <c r="I31" i="7"/>
  <c r="I20" i="8" l="1"/>
  <c r="Z28" i="11"/>
  <c r="I28" i="11"/>
  <c r="X28" i="11" s="1"/>
  <c r="D29" i="11"/>
  <c r="G28" i="11"/>
  <c r="X31" i="7"/>
  <c r="AK31" i="7"/>
  <c r="AL31" i="7" s="1"/>
  <c r="C32" i="7"/>
  <c r="K31" i="7"/>
  <c r="F31" i="7"/>
  <c r="AK28" i="11" l="1"/>
  <c r="AN28" i="11" s="1"/>
  <c r="AL28" i="11" s="1"/>
  <c r="C29" i="11"/>
  <c r="E21" i="8" s="1"/>
  <c r="F21" i="8" s="1"/>
  <c r="G21" i="8" s="1"/>
  <c r="G31" i="7"/>
  <c r="D32" i="7"/>
  <c r="H32" i="7"/>
  <c r="E29" i="11" l="1"/>
  <c r="F29" i="11" s="1"/>
  <c r="H29" i="11"/>
  <c r="J29" i="11"/>
  <c r="I32" i="7"/>
  <c r="X32" i="7" s="1"/>
  <c r="J32" i="7"/>
  <c r="E32" i="7"/>
  <c r="K29" i="11" l="1"/>
  <c r="C33" i="7"/>
  <c r="H33" i="7" s="1"/>
  <c r="AK32" i="7"/>
  <c r="AL32" i="7" s="1"/>
  <c r="F32" i="7"/>
  <c r="K32" i="7"/>
  <c r="I21" i="8" l="1"/>
  <c r="Z29" i="11"/>
  <c r="I29" i="11"/>
  <c r="AK29" i="11" s="1"/>
  <c r="AN29" i="11" s="1"/>
  <c r="AL29" i="11" s="1"/>
  <c r="D30" i="11"/>
  <c r="G29" i="11"/>
  <c r="G32" i="7"/>
  <c r="D33" i="7"/>
  <c r="X29" i="11" l="1"/>
  <c r="C30" i="11"/>
  <c r="H30" i="11" s="1"/>
  <c r="E33" i="7"/>
  <c r="J33" i="7"/>
  <c r="I33" i="7"/>
  <c r="E30" i="11" l="1"/>
  <c r="F30" i="11" s="1"/>
  <c r="J30" i="11"/>
  <c r="E22" i="8"/>
  <c r="F22" i="8" s="1"/>
  <c r="G22" i="8" s="1"/>
  <c r="C34" i="7"/>
  <c r="X33" i="7"/>
  <c r="AK33" i="7"/>
  <c r="AL33" i="7" s="1"/>
  <c r="F33" i="7"/>
  <c r="K33" i="7"/>
  <c r="I22" i="8" l="1"/>
  <c r="Z30" i="11"/>
  <c r="G30" i="11"/>
  <c r="I30" i="11"/>
  <c r="C31" i="11" s="1"/>
  <c r="D31" i="11"/>
  <c r="K30" i="11"/>
  <c r="H34" i="7"/>
  <c r="D34" i="7"/>
  <c r="G33" i="7"/>
  <c r="X30" i="11" l="1"/>
  <c r="AK30" i="11"/>
  <c r="AN30" i="11" s="1"/>
  <c r="AL30" i="11" s="1"/>
  <c r="E31" i="11"/>
  <c r="F31" i="11" s="1"/>
  <c r="E23" i="8"/>
  <c r="F23" i="8" s="1"/>
  <c r="G23" i="8" s="1"/>
  <c r="J31" i="11"/>
  <c r="H31" i="11"/>
  <c r="E34" i="7"/>
  <c r="J34" i="7"/>
  <c r="I34" i="7"/>
  <c r="K31" i="11" l="1"/>
  <c r="F34" i="7"/>
  <c r="K34" i="7"/>
  <c r="C35" i="7"/>
  <c r="X34" i="7"/>
  <c r="AK34" i="7"/>
  <c r="AL34" i="7" s="1"/>
  <c r="I23" i="8" l="1"/>
  <c r="Z31" i="11"/>
  <c r="D32" i="11"/>
  <c r="G31" i="11"/>
  <c r="I31" i="11"/>
  <c r="AK31" i="11" s="1"/>
  <c r="AN31" i="11" s="1"/>
  <c r="AL31" i="11" s="1"/>
  <c r="H35" i="7"/>
  <c r="D35" i="7"/>
  <c r="G34" i="7"/>
  <c r="C32" i="11" l="1"/>
  <c r="E24" i="8" s="1"/>
  <c r="F24" i="8" s="1"/>
  <c r="G24" i="8" s="1"/>
  <c r="X31" i="11"/>
  <c r="I35" i="7"/>
  <c r="C36" i="7" s="1"/>
  <c r="E35" i="7"/>
  <c r="J35" i="7"/>
  <c r="J32" i="11" l="1"/>
  <c r="H32" i="11"/>
  <c r="E32" i="11"/>
  <c r="F32" i="11" s="1"/>
  <c r="X35" i="7"/>
  <c r="AK35" i="7"/>
  <c r="AL35" i="7" s="1"/>
  <c r="F35" i="7"/>
  <c r="K35" i="7"/>
  <c r="H36" i="7"/>
  <c r="I24" i="8" l="1"/>
  <c r="Z32" i="11"/>
  <c r="D33" i="11"/>
  <c r="G32" i="11"/>
  <c r="I32" i="11"/>
  <c r="X32" i="11" s="1"/>
  <c r="K32" i="11"/>
  <c r="D36" i="7"/>
  <c r="G35" i="7"/>
  <c r="C33" i="11" l="1"/>
  <c r="E25" i="8" s="1"/>
  <c r="F25" i="8" s="1"/>
  <c r="G25" i="8" s="1"/>
  <c r="AK32" i="11"/>
  <c r="AN32" i="11" s="1"/>
  <c r="E36" i="7"/>
  <c r="J36" i="7"/>
  <c r="I36" i="7"/>
  <c r="AL32" i="11" l="1"/>
  <c r="E33" i="11"/>
  <c r="F33" i="11" s="1"/>
  <c r="H33" i="11"/>
  <c r="J33" i="11"/>
  <c r="AK36" i="7"/>
  <c r="AL36" i="7" s="1"/>
  <c r="C37" i="7"/>
  <c r="X36" i="7"/>
  <c r="F36" i="7"/>
  <c r="K36" i="7"/>
  <c r="K33" i="11" l="1"/>
  <c r="H37" i="7"/>
  <c r="D37" i="7"/>
  <c r="G36" i="7"/>
  <c r="I25" i="8" l="1"/>
  <c r="Z33" i="11"/>
  <c r="G33" i="11"/>
  <c r="D34" i="11"/>
  <c r="I33" i="11"/>
  <c r="X33" i="11" s="1"/>
  <c r="E37" i="7"/>
  <c r="J37" i="7"/>
  <c r="I37" i="7"/>
  <c r="C34" i="11" l="1"/>
  <c r="E26" i="8" s="1"/>
  <c r="F26" i="8" s="1"/>
  <c r="G26" i="8" s="1"/>
  <c r="AK33" i="11"/>
  <c r="AN33" i="11" s="1"/>
  <c r="AK37" i="7"/>
  <c r="AL37" i="7" s="1"/>
  <c r="C38" i="7"/>
  <c r="X37" i="7"/>
  <c r="F37" i="7"/>
  <c r="K37" i="7"/>
  <c r="AL33" i="11" l="1"/>
  <c r="H34" i="11"/>
  <c r="J34" i="11"/>
  <c r="E34" i="11"/>
  <c r="F34" i="11" s="1"/>
  <c r="D38" i="7"/>
  <c r="G37" i="7"/>
  <c r="H38" i="7"/>
  <c r="K34" i="11" l="1"/>
  <c r="Z34" i="11"/>
  <c r="E38" i="7"/>
  <c r="J38" i="7"/>
  <c r="I38" i="7"/>
  <c r="I26" i="8" l="1"/>
  <c r="G34" i="11"/>
  <c r="D35" i="11"/>
  <c r="I34" i="11"/>
  <c r="AK38" i="7"/>
  <c r="AL38" i="7" s="1"/>
  <c r="C39" i="7"/>
  <c r="X38" i="7"/>
  <c r="F38" i="7"/>
  <c r="K38" i="7"/>
  <c r="X34" i="11" l="1"/>
  <c r="C35" i="11"/>
  <c r="AK34" i="11"/>
  <c r="AN34" i="11" s="1"/>
  <c r="AL34" i="11" s="1"/>
  <c r="D39" i="7"/>
  <c r="G38" i="7"/>
  <c r="H39" i="7"/>
  <c r="E27" i="8" l="1"/>
  <c r="F27" i="8" s="1"/>
  <c r="G27" i="8" s="1"/>
  <c r="E35" i="11"/>
  <c r="F35" i="11" s="1"/>
  <c r="H35" i="11"/>
  <c r="J35" i="11"/>
  <c r="I39" i="7"/>
  <c r="X39" i="7" s="1"/>
  <c r="E39" i="7"/>
  <c r="J39" i="7"/>
  <c r="Z35" i="11" l="1"/>
  <c r="K35" i="11"/>
  <c r="C40" i="7"/>
  <c r="H40" i="7" s="1"/>
  <c r="AK39" i="7"/>
  <c r="AL39" i="7" s="1"/>
  <c r="F39" i="7"/>
  <c r="K39" i="7"/>
  <c r="I27" i="8" l="1"/>
  <c r="I35" i="11"/>
  <c r="G35" i="11"/>
  <c r="D36" i="11"/>
  <c r="D40" i="7"/>
  <c r="G39" i="7"/>
  <c r="C36" i="11" l="1"/>
  <c r="AK35" i="11"/>
  <c r="AN35" i="11" s="1"/>
  <c r="AL35" i="11" s="1"/>
  <c r="X35" i="11"/>
  <c r="E40" i="7"/>
  <c r="J40" i="7"/>
  <c r="J42" i="7" s="1"/>
  <c r="I40" i="7"/>
  <c r="E28" i="8" l="1"/>
  <c r="F28" i="8" s="1"/>
  <c r="G28" i="8" s="1"/>
  <c r="H36" i="11"/>
  <c r="J36" i="11"/>
  <c r="E36" i="11"/>
  <c r="F36" i="11" s="1"/>
  <c r="X40" i="7"/>
  <c r="AK40" i="7"/>
  <c r="AL40" i="7" s="1"/>
  <c r="AL42" i="7" s="1"/>
  <c r="F40" i="7"/>
  <c r="K40" i="7"/>
  <c r="K42" i="7" s="1"/>
  <c r="E42" i="7"/>
  <c r="Z36" i="11" l="1"/>
  <c r="K36" i="11"/>
  <c r="G40" i="7"/>
  <c r="G42" i="7" s="1"/>
  <c r="I28" i="8" l="1"/>
  <c r="G36" i="11"/>
  <c r="D37" i="11"/>
  <c r="I36" i="11"/>
  <c r="AK36" i="11" l="1"/>
  <c r="AN36" i="11" s="1"/>
  <c r="AL36" i="11" s="1"/>
  <c r="X36" i="11"/>
  <c r="C37" i="11"/>
  <c r="E37" i="11" s="1"/>
  <c r="F37" i="11" s="1"/>
  <c r="J37" i="11" l="1"/>
  <c r="E29" i="8"/>
  <c r="F29" i="8" s="1"/>
  <c r="G29" i="8" s="1"/>
  <c r="H37" i="11"/>
  <c r="Z37" i="11"/>
  <c r="K37" i="11"/>
  <c r="I29" i="8" l="1"/>
  <c r="G37" i="11"/>
  <c r="D38" i="11"/>
  <c r="I37" i="11"/>
  <c r="C38" i="11" l="1"/>
  <c r="J38" i="11" s="1"/>
  <c r="X37" i="11"/>
  <c r="AK37" i="11"/>
  <c r="AN37" i="11" s="1"/>
  <c r="AL37" i="11" s="1"/>
  <c r="H38" i="11" l="1"/>
  <c r="E30" i="8"/>
  <c r="F30" i="8" s="1"/>
  <c r="G30" i="8" s="1"/>
  <c r="E38" i="11"/>
  <c r="F38" i="11" s="1"/>
  <c r="K38" i="11" l="1"/>
  <c r="Z38" i="11"/>
  <c r="D39" i="11" l="1"/>
  <c r="G38" i="11"/>
  <c r="I38" i="11"/>
  <c r="I30" i="8"/>
  <c r="X38" i="11" l="1"/>
  <c r="C39" i="11"/>
  <c r="E39" i="11" s="1"/>
  <c r="F39" i="11" s="1"/>
  <c r="AK38" i="11"/>
  <c r="AN38" i="11" s="1"/>
  <c r="AL38" i="11" s="1"/>
  <c r="K39" i="11" l="1"/>
  <c r="Z39" i="11"/>
  <c r="J39" i="11"/>
  <c r="E31" i="8"/>
  <c r="F31" i="8" s="1"/>
  <c r="G31" i="8" s="1"/>
  <c r="H39" i="11"/>
  <c r="G39" i="11" l="1"/>
  <c r="D40" i="11"/>
  <c r="I31" i="8"/>
  <c r="I39" i="11"/>
  <c r="X39" i="11" l="1"/>
  <c r="AK39" i="11"/>
  <c r="AN39" i="11" s="1"/>
  <c r="AL39" i="11" s="1"/>
  <c r="C40" i="11"/>
  <c r="J40" i="11" l="1"/>
  <c r="J42" i="11" s="1"/>
  <c r="H40" i="11"/>
  <c r="E40" i="11"/>
  <c r="F40" i="11" s="1"/>
  <c r="E32" i="8"/>
  <c r="F32" i="8" s="1"/>
  <c r="G32" i="8" s="1"/>
  <c r="K40" i="11" l="1"/>
  <c r="K42" i="11" s="1"/>
  <c r="E42" i="11"/>
  <c r="Z40" i="11"/>
  <c r="I32" i="8" l="1"/>
  <c r="G40" i="11"/>
  <c r="G42" i="11" s="1"/>
  <c r="I40" i="11"/>
  <c r="AI33" i="12" l="1"/>
  <c r="AI34" i="12" s="1"/>
  <c r="AG33" i="12"/>
  <c r="AG34" i="12" s="1"/>
  <c r="AE33" i="12"/>
  <c r="AE34" i="12" s="1"/>
  <c r="AC33" i="12"/>
  <c r="AC34" i="12" s="1"/>
  <c r="AA33" i="12"/>
  <c r="AA34" i="12" s="1"/>
  <c r="X40" i="11"/>
  <c r="AK40" i="11"/>
  <c r="AN40" i="11" s="1"/>
  <c r="AC35" i="12" l="1"/>
  <c r="AD35" i="12" s="1"/>
  <c r="AA37" i="12"/>
  <c r="AB37" i="12" s="1"/>
  <c r="AA36" i="12"/>
  <c r="AB36" i="12" s="1"/>
  <c r="AG35" i="12"/>
  <c r="AH35" i="12" s="1"/>
  <c r="AE37" i="12"/>
  <c r="AF37" i="12" s="1"/>
  <c r="AE36" i="12"/>
  <c r="AF36" i="12" s="1"/>
  <c r="AI35" i="12"/>
  <c r="AJ35" i="12" s="1"/>
  <c r="AG37" i="12"/>
  <c r="AH37" i="12" s="1"/>
  <c r="AG36" i="12"/>
  <c r="AH36" i="12" s="1"/>
  <c r="AE35" i="12"/>
  <c r="AF35" i="12" s="1"/>
  <c r="AC37" i="12"/>
  <c r="AD37" i="12" s="1"/>
  <c r="AC36" i="12"/>
  <c r="AD36" i="12" s="1"/>
  <c r="AI37" i="12"/>
  <c r="AJ37" i="12" s="1"/>
  <c r="AI36" i="12"/>
  <c r="AJ36" i="12" s="1"/>
  <c r="P48" i="12"/>
  <c r="M50" i="12" s="1"/>
  <c r="O52" i="12" s="1"/>
  <c r="Y34" i="12"/>
  <c r="U40" i="12"/>
  <c r="V37" i="12"/>
  <c r="V40" i="12" s="1"/>
  <c r="W40" i="12"/>
  <c r="X37" i="12"/>
  <c r="X40" i="12" s="1"/>
  <c r="AL40" i="11"/>
  <c r="AL42" i="11" s="1"/>
  <c r="AN43" i="11"/>
  <c r="AH40" i="12" l="1"/>
  <c r="AD40" i="12"/>
  <c r="AF40" i="12"/>
  <c r="AJ40" i="12"/>
  <c r="AA35" i="12"/>
  <c r="Y37" i="12"/>
  <c r="Z37" i="12" s="1"/>
  <c r="Y36" i="12"/>
  <c r="Z36" i="12" s="1"/>
  <c r="AI40" i="12"/>
  <c r="AG40" i="12"/>
  <c r="AC40" i="12"/>
  <c r="AE40" i="12"/>
  <c r="Z40" i="12" l="1"/>
  <c r="AB35" i="12"/>
  <c r="AB40" i="12" s="1"/>
  <c r="AA40" i="12"/>
  <c r="Y40" i="12"/>
  <c r="AG48" i="7"/>
  <c r="AG22" i="7"/>
  <c r="AG23" i="7"/>
  <c r="AH23" i="7"/>
  <c r="AG24" i="7"/>
  <c r="AH24" i="7"/>
  <c r="AG25" i="7"/>
  <c r="AH25" i="7"/>
  <c r="AG26" i="7"/>
  <c r="AH26" i="7"/>
  <c r="AG22" i="11"/>
  <c r="AG23" i="11"/>
  <c r="AH23" i="11"/>
  <c r="AG24" i="11"/>
  <c r="AH24" i="11"/>
  <c r="AG25" i="11"/>
  <c r="AH25" i="11"/>
  <c r="AH26" i="11"/>
  <c r="AG34" i="11"/>
  <c r="N43" i="11"/>
  <c r="O43" i="11"/>
  <c r="Z82" i="11"/>
  <c r="Z8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</author>
  </authors>
  <commentList>
    <comment ref="S33" authorId="0" shapeId="0" xr:uid="{2140AF9C-421D-4B71-8A63-37ACD5569EA2}">
      <text>
        <r>
          <rPr>
            <b/>
            <sz val="9"/>
            <color indexed="81"/>
            <rFont val="Tahoma"/>
            <family val="2"/>
          </rPr>
          <t>Bob:</t>
        </r>
        <r>
          <rPr>
            <sz val="9"/>
            <color indexed="81"/>
            <rFont val="Tahoma"/>
            <family val="2"/>
          </rPr>
          <t xml:space="preserve">
Jo salary + bonus
133000 + 8000
</t>
        </r>
      </text>
    </comment>
    <comment ref="U33" authorId="0" shapeId="0" xr:uid="{A1173969-19FD-41D6-ABBB-F6ED7DE3326F}">
      <text>
        <r>
          <rPr>
            <b/>
            <sz val="9"/>
            <color indexed="81"/>
            <rFont val="Tahoma"/>
            <family val="2"/>
          </rPr>
          <t>Bob:</t>
        </r>
        <r>
          <rPr>
            <sz val="9"/>
            <color indexed="81"/>
            <rFont val="Tahoma"/>
            <family val="2"/>
          </rPr>
          <t xml:space="preserve">
jo salary 133000 +
bob socsec 0
401k = 5000
</t>
        </r>
      </text>
    </comment>
    <comment ref="Y33" authorId="0" shapeId="0" xr:uid="{436C0A75-7CA5-4535-A3BD-7C4B6D10D28F}">
      <text>
        <r>
          <rPr>
            <b/>
            <sz val="9"/>
            <color indexed="81"/>
            <rFont val="Tahoma"/>
            <family val="2"/>
          </rPr>
          <t>Bob:</t>
        </r>
        <r>
          <rPr>
            <sz val="9"/>
            <color indexed="81"/>
            <rFont val="Tahoma"/>
            <family val="2"/>
          </rPr>
          <t xml:space="preserve">
socsec = 69146
401K = 66000
annuity = 15125 (22688*12/8)
</t>
        </r>
      </text>
    </comment>
    <comment ref="AA33" authorId="0" shapeId="0" xr:uid="{403AA6A9-D223-4A78-A97A-7DCDAF1D5CC2}">
      <text>
        <r>
          <rPr>
            <b/>
            <sz val="9"/>
            <color indexed="81"/>
            <rFont val="Tahoma"/>
            <family val="2"/>
          </rPr>
          <t>Bob:</t>
        </r>
        <r>
          <rPr>
            <sz val="9"/>
            <color indexed="81"/>
            <rFont val="Tahoma"/>
            <family val="2"/>
          </rPr>
          <t xml:space="preserve">
annuity : 22688
socsec : 81348 * .85
            69146
401K   : 66000
</t>
        </r>
      </text>
    </comment>
  </commentList>
</comments>
</file>

<file path=xl/sharedStrings.xml><?xml version="1.0" encoding="utf-8"?>
<sst xmlns="http://schemas.openxmlformats.org/spreadsheetml/2006/main" count="687" uniqueCount="441">
  <si>
    <t>staggered</t>
  </si>
  <si>
    <t>same time</t>
  </si>
  <si>
    <t>Bob</t>
  </si>
  <si>
    <t>Jo</t>
  </si>
  <si>
    <t>Bob declares</t>
  </si>
  <si>
    <t>Jo declares</t>
  </si>
  <si>
    <t>socsec</t>
  </si>
  <si>
    <t>declares</t>
  </si>
  <si>
    <t>w/annuity</t>
  </si>
  <si>
    <t>annuity</t>
  </si>
  <si>
    <t>how much from 401K to achieve this much</t>
  </si>
  <si>
    <t>401K will last this many years</t>
  </si>
  <si>
    <t xml:space="preserve"> </t>
  </si>
  <si>
    <t>4% rule</t>
  </si>
  <si>
    <t>EDJ Bob</t>
  </si>
  <si>
    <t>EDJ Jo</t>
  </si>
  <si>
    <t>Verus Jo</t>
  </si>
  <si>
    <t>sum</t>
  </si>
  <si>
    <t>JoAnn</t>
  </si>
  <si>
    <t>healthcare est per year</t>
  </si>
  <si>
    <t>tax est per year</t>
  </si>
  <si>
    <t>… plus tax and health</t>
  </si>
  <si>
    <t>base expenses</t>
  </si>
  <si>
    <t>current 401K value</t>
  </si>
  <si>
    <t>at 65, Pct of 401K</t>
  </si>
  <si>
    <t>3%</t>
  </si>
  <si>
    <t>5%</t>
  </si>
  <si>
    <t>per month Bob</t>
  </si>
  <si>
    <t>per month Jo</t>
  </si>
  <si>
    <t>20250120 - Trump</t>
  </si>
  <si>
    <t>pct since trump</t>
  </si>
  <si>
    <t>401k per month</t>
  </si>
  <si>
    <t>soc sec per month</t>
  </si>
  <si>
    <t>annuity per month</t>
  </si>
  <si>
    <t>sum income year</t>
  </si>
  <si>
    <t>sum income per month</t>
  </si>
  <si>
    <t xml:space="preserve">updated SSA </t>
  </si>
  <si>
    <t>tax est per years w/o ss</t>
  </si>
  <si>
    <t xml:space="preserve">reqd for 4% </t>
  </si>
  <si>
    <t>rule</t>
  </si>
  <si>
    <t>4.X % rule</t>
  </si>
  <si>
    <t>1400 hrs</t>
  </si>
  <si>
    <t>1712 hrs</t>
  </si>
  <si>
    <t>1405 hrs</t>
  </si>
  <si>
    <t>1542 hrs</t>
  </si>
  <si>
    <t>1744 hrs</t>
  </si>
  <si>
    <t>1834 hrs</t>
  </si>
  <si>
    <t>1503 hrs</t>
  </si>
  <si>
    <t>1650 hrs</t>
  </si>
  <si>
    <t>year</t>
  </si>
  <si>
    <t>starting portfolio balance</t>
  </si>
  <si>
    <t>portfolio growth</t>
  </si>
  <si>
    <t>ending portfolio balance</t>
  </si>
  <si>
    <t>withdrawal rate (%)</t>
  </si>
  <si>
    <t>Average Inflation Rate</t>
  </si>
  <si>
    <t>Average Investment Return</t>
  </si>
  <si>
    <t>starting pct withdrawal</t>
  </si>
  <si>
    <t>lower guardrail</t>
  </si>
  <si>
    <t>upper guardrail</t>
  </si>
  <si>
    <t>guardrail upper limit increase</t>
  </si>
  <si>
    <t>guardrail lower limit increase</t>
  </si>
  <si>
    <t>withdrawal to equal same dollars in 2026</t>
  </si>
  <si>
    <t>inflation average (1975-2024)</t>
  </si>
  <si>
    <t>inflation std dev (1974-2024)</t>
  </si>
  <si>
    <t>average retirement assets (50% stock, 50% bonds) (1975-2024)</t>
  </si>
  <si>
    <t>std dev retirement assets (50% stock, 50% bonds) (1975-2024)</t>
  </si>
  <si>
    <t>2301 hrs</t>
  </si>
  <si>
    <t>run counter</t>
  </si>
  <si>
    <t>1722 hrs</t>
  </si>
  <si>
    <t>1321 hrs</t>
  </si>
  <si>
    <t>volatile [make this "=now()" or "=rand()"] ; clear contents to reset the above counters, then "=now()"</t>
  </si>
  <si>
    <t>withdrawal rate (%) before guardrail</t>
  </si>
  <si>
    <t>withdrawal amount before guardrail</t>
  </si>
  <si>
    <t>withdrawal amount after guardrail</t>
  </si>
  <si>
    <t>withdrawal rate (%) after guardrail</t>
  </si>
  <si>
    <t>upper guardrail used</t>
  </si>
  <si>
    <t>1613 hrs</t>
  </si>
  <si>
    <t>change since the dip</t>
  </si>
  <si>
    <t>change since Trump</t>
  </si>
  <si>
    <t>1420 hrs</t>
  </si>
  <si>
    <t>diff between current end balance and the same value of money in 2026 (positive means doing better than at start)</t>
  </si>
  <si>
    <t>how big would ending portfolio need to be to match in $A$3 dollars to match 2026 STARTING balance</t>
  </si>
  <si>
    <t>averages</t>
  </si>
  <si>
    <t>total decreased</t>
  </si>
  <si>
    <t>uses normal distribution for inflation and investment</t>
  </si>
  <si>
    <t>num years below portfolio_min</t>
  </si>
  <si>
    <t>portfolio dropped below … warning</t>
  </si>
  <si>
    <t>ending portfolio in 2026 dollars</t>
  </si>
  <si>
    <t>Warning for portfolio below 2026 dollars</t>
  </si>
  <si>
    <t>1608 hrs</t>
  </si>
  <si>
    <t>2141 hrs</t>
  </si>
  <si>
    <t>a portfolio below warning# in 2026 yr dollars during some year</t>
  </si>
  <si>
    <t>1110 hrs</t>
  </si>
  <si>
    <t>1752 hrs</t>
  </si>
  <si>
    <t>1758 hrs</t>
  </si>
  <si>
    <t>10,000 runs</t>
  </si>
  <si>
    <t>withdraw rt</t>
  </si>
  <si>
    <t>1706 hrs</t>
  </si>
  <si>
    <t>smooth sailing ctr (no upper guardrail limit hit)</t>
  </si>
  <si>
    <t>1741 hrs</t>
  </si>
  <si>
    <t>1339 hrs</t>
  </si>
  <si>
    <t>1701 hrs</t>
  </si>
  <si>
    <t>RMD age</t>
  </si>
  <si>
    <t>rmd pct</t>
  </si>
  <si>
    <t>rmd amt</t>
  </si>
  <si>
    <t>yrs remain</t>
  </si>
  <si>
    <t>1745 hrs</t>
  </si>
  <si>
    <t>Ed Jones Mny Mkt</t>
  </si>
  <si>
    <t>Nationwide</t>
  </si>
  <si>
    <t>non-401k</t>
  </si>
  <si>
    <t>total</t>
  </si>
  <si>
    <t>1739 hrs</t>
  </si>
  <si>
    <t>1621 hrs</t>
  </si>
  <si>
    <t>JoAnn's annuity looks to be Joint Option. She is currently 62, and the latest statement (as of 06/30/2025) shows that the yearly amount she'll receive is 15977.23, which is 4.5% of the current income benefit base of 355049.77</t>
  </si>
  <si>
    <t>age 63 (.045*2024_bal)</t>
  </si>
  <si>
    <t>age 63 (.045*curr_bal)</t>
  </si>
  <si>
    <t>2019 hrs</t>
  </si>
  <si>
    <t>1856 hrs</t>
  </si>
  <si>
    <t>1858 hrs</t>
  </si>
  <si>
    <t>1705 hrs</t>
  </si>
  <si>
    <t>1336 hrs</t>
  </si>
  <si>
    <t>1145 hrs</t>
  </si>
  <si>
    <t>1737 hrs</t>
  </si>
  <si>
    <t>/</t>
  </si>
  <si>
    <t>-</t>
  </si>
  <si>
    <t>\</t>
  </si>
  <si>
    <t>portfolio balance</t>
  </si>
  <si>
    <t>Bob age in Sep</t>
  </si>
  <si>
    <t>taxes</t>
  </si>
  <si>
    <t>1732 hrs</t>
  </si>
  <si>
    <t>failure (ending balance (2057) &lt; warning# in 2026 dollars)</t>
  </si>
  <si>
    <t>2057 portfolio below … warning in 2026 dollars</t>
  </si>
  <si>
    <t>2057 minimum ending portfolio in 2026 dollars, lowest value</t>
  </si>
  <si>
    <t>1657 hrs</t>
  </si>
  <si>
    <t>1626 hrs</t>
  </si>
  <si>
    <t>success (ending balance (2057) &lt; warning# in 2026 dollars)</t>
  </si>
  <si>
    <t>1644 hrs</t>
  </si>
  <si>
    <t>1806 hrs</t>
  </si>
  <si>
    <t>1510 hrs</t>
  </si>
  <si>
    <t>1103 hrs</t>
  </si>
  <si>
    <t>1536 hrs</t>
  </si>
  <si>
    <t>2131 hrs</t>
  </si>
  <si>
    <t>1857 hrs</t>
  </si>
  <si>
    <t>1800 hrs</t>
  </si>
  <si>
    <t>1717 hrs</t>
  </si>
  <si>
    <t>1600 hrs</t>
  </si>
  <si>
    <t>1402 hrs</t>
  </si>
  <si>
    <t>1257 hrs</t>
  </si>
  <si>
    <t>1538 hrs</t>
  </si>
  <si>
    <t>2245 hrs</t>
  </si>
  <si>
    <t>1817 hrs</t>
  </si>
  <si>
    <t>0840 hrs</t>
  </si>
  <si>
    <t>2356 hrs</t>
  </si>
  <si>
    <t>1619 hrs</t>
  </si>
  <si>
    <t>1702 hrs</t>
  </si>
  <si>
    <t>1607 hrs</t>
  </si>
  <si>
    <t>`</t>
  </si>
  <si>
    <t>1618 hrs</t>
  </si>
  <si>
    <t>1837 hrs</t>
  </si>
  <si>
    <t>1450 hrs</t>
  </si>
  <si>
    <t>1814 hrs</t>
  </si>
  <si>
    <t>1738 hrs</t>
  </si>
  <si>
    <t>1441 hrs</t>
  </si>
  <si>
    <t>2000 hrs</t>
  </si>
  <si>
    <t>planned to take out</t>
  </si>
  <si>
    <t>1935 hrs</t>
  </si>
  <si>
    <t>2006 hrs</t>
  </si>
  <si>
    <t xml:space="preserve">reqd for 4.X% </t>
  </si>
  <si>
    <t>1129 hrs</t>
  </si>
  <si>
    <t>0834 hrs</t>
  </si>
  <si>
    <t>day of week</t>
  </si>
  <si>
    <t>1559 hrs</t>
  </si>
  <si>
    <t>2250 hrs</t>
  </si>
  <si>
    <t>1708 hrs</t>
  </si>
  <si>
    <t>1646 hrs</t>
  </si>
  <si>
    <t>success 1M</t>
  </si>
  <si>
    <t>success 750K</t>
  </si>
  <si>
    <t>success 500K</t>
  </si>
  <si>
    <t>success 250K</t>
  </si>
  <si>
    <t>Tax Year</t>
  </si>
  <si>
    <t>Husband Age</t>
  </si>
  <si>
    <t>Wife Age</t>
  </si>
  <si>
    <t>Base Standard Deduction</t>
  </si>
  <si>
    <t>Extra 65+</t>
  </si>
  <si>
    <t>Total Deduction</t>
  </si>
  <si>
    <t>projected as-of 20251017</t>
  </si>
  <si>
    <t>if ITERATIONS don't work, check File-Options-Formulas</t>
  </si>
  <si>
    <t>1655 hrs</t>
  </si>
  <si>
    <t>1830 hrs</t>
  </si>
  <si>
    <t>1456 hrs</t>
  </si>
  <si>
    <t>1445 hrs</t>
  </si>
  <si>
    <t>inflation factor</t>
  </si>
  <si>
    <t>ending portfolio value in 2025 dollars</t>
  </si>
  <si>
    <t>portfolio warning at</t>
  </si>
  <si>
    <t>1553 hrs</t>
  </si>
  <si>
    <t>1654 hrs</t>
  </si>
  <si>
    <t>1925 hrs</t>
  </si>
  <si>
    <t>inflation average (1961-2024)</t>
  </si>
  <si>
    <t>inflation std dev (1961-2024)</t>
  </si>
  <si>
    <t>1938 hrs</t>
  </si>
  <si>
    <t>2359 hrs</t>
  </si>
  <si>
    <t>Based on historical total annual returns (including dividends for stocks) from 1965 through 2024 (60 years), the arithmetic average annual return for a 50% S&amp;P 500 / 50% 10-year U.S. Treasury Bond portfolio is 8.87%. The population standard deviation of these annual returns is 9.84%.</t>
  </si>
  <si>
    <t>Grok:</t>
  </si>
  <si>
    <t>Based on historical total annual returns (including dividends for stocks) from 1965 through 2024 (60 years), the arithmetic average annual return for a 60% S&amp;P 500 / 40% 10-year U.S. Treasury Bond portfolio is 9.44%. The population standard deviation of these annual returns is 10.89%.</t>
  </si>
  <si>
    <t>succ 250K</t>
  </si>
  <si>
    <t>1535 hrs</t>
  </si>
  <si>
    <t>1803 hrs</t>
  </si>
  <si>
    <t>1627 hrs</t>
  </si>
  <si>
    <t>0445 hrs</t>
  </si>
  <si>
    <t>1422 hrs</t>
  </si>
  <si>
    <t>1940 hrs</t>
  </si>
  <si>
    <t>1957 hrs</t>
  </si>
  <si>
    <t>average retirement assets (60% stock, 40% bonds) (1965-2024)</t>
  </si>
  <si>
    <t>std dev retirement assets (60% stock, 40% bonds) (1965-2024)</t>
  </si>
  <si>
    <t>60 / 40</t>
  </si>
  <si>
    <t>1509 hrs</t>
  </si>
  <si>
    <t>1840 hrs</t>
  </si>
  <si>
    <t>1900 hrs</t>
  </si>
  <si>
    <t>1907 hrs</t>
  </si>
  <si>
    <t>ending portfolio balance (before inflation)</t>
  </si>
  <si>
    <t>ending portfolio (includes inflation)</t>
  </si>
  <si>
    <t>1815 hrs</t>
  </si>
  <si>
    <t>week</t>
  </si>
  <si>
    <t>day</t>
  </si>
  <si>
    <t>hour</t>
  </si>
  <si>
    <t>monthly Bob soc sec</t>
  </si>
  <si>
    <t>monthly Jo Soc Sec</t>
  </si>
  <si>
    <t>monthly  annuity</t>
  </si>
  <si>
    <t>increase multiplier</t>
  </si>
  <si>
    <t>cash burn</t>
  </si>
  <si>
    <t>no decrease in withdrawal needed</t>
  </si>
  <si>
    <t>monthly cash needed</t>
  </si>
  <si>
    <t>sum cash needed</t>
  </si>
  <si>
    <t>pay for cruise</t>
  </si>
  <si>
    <t>1240 hrs</t>
  </si>
  <si>
    <t>1824 hrs</t>
  </si>
  <si>
    <t>min for the run</t>
  </si>
  <si>
    <t>1410 hrs</t>
  </si>
  <si>
    <t>tax</t>
  </si>
  <si>
    <t>1037 hrs</t>
  </si>
  <si>
    <t>0921 hrs</t>
  </si>
  <si>
    <t>1027 hrs</t>
  </si>
  <si>
    <t>1548 hrs</t>
  </si>
  <si>
    <t>Apr-3-2028</t>
  </si>
  <si>
    <t>65+</t>
  </si>
  <si>
    <t>Jo's age</t>
  </si>
  <si>
    <t>if lock in on…</t>
  </si>
  <si>
    <t xml:space="preserve">base </t>
  </si>
  <si>
    <t>lifetime yearly</t>
  </si>
  <si>
    <t>1616 hrs</t>
  </si>
  <si>
    <t>7% per year on the base (not 7% on the current value)</t>
  </si>
  <si>
    <t>1543 hrs</t>
  </si>
  <si>
    <t>1734 hrs</t>
  </si>
  <si>
    <t>2025 (Sep)</t>
  </si>
  <si>
    <t>1637 hrs</t>
  </si>
  <si>
    <t>2026 (Sep)</t>
  </si>
  <si>
    <t>2027 (Dec)</t>
  </si>
  <si>
    <t>2029 (Jan)</t>
  </si>
  <si>
    <t>2028 (Apr 3)</t>
  </si>
  <si>
    <t>2030 (Jan)</t>
  </si>
  <si>
    <t>2031 (Jan)</t>
  </si>
  <si>
    <t>2032 (Jan)</t>
  </si>
  <si>
    <t>1630 hrs</t>
  </si>
  <si>
    <t>1501 hrs</t>
  </si>
  <si>
    <t>pct since yesterday</t>
  </si>
  <si>
    <t>2010 hrs</t>
  </si>
  <si>
    <t xml:space="preserve">  \</t>
  </si>
  <si>
    <t>2025 Federal Income Tax Brackets (U.S.)</t>
  </si>
  <si>
    <t>The IRS has released the inflation-adjusted tax brackets for tax year 2025 (income earned in 2025, filed in 2026) in Revenue Procedure 2024-40.</t>
  </si>
  <si>
    <t>Tax Rate</t>
  </si>
  <si>
    <t>Taxable Income Range</t>
  </si>
  <si>
    <t>$0 – $11,925</t>
  </si>
  <si>
    <t>$11,926 – $48,475</t>
  </si>
  <si>
    <t>$48,476 – $103,350</t>
  </si>
  <si>
    <t>$103,351 – $197,300</t>
  </si>
  <si>
    <t>$197,301 – $250,525</t>
  </si>
  <si>
    <t>$250,526 – $626,350</t>
  </si>
  <si>
    <t>Over $626,350</t>
  </si>
  <si>
    <t>single filers</t>
  </si>
  <si>
    <t>Married Filing Jointly (or Qualifying Surviving Spouse)</t>
  </si>
  <si>
    <r>
      <t>Standard Deduction for 2025</t>
    </r>
    <r>
      <rPr>
        <sz val="11"/>
        <color theme="1"/>
        <rFont val="Aptos Narrow"/>
        <family val="2"/>
        <scheme val="minor"/>
      </rPr>
      <t>:</t>
    </r>
  </si>
  <si>
    <t>2026 Federal Income Tax Brackets (U.S.)</t>
  </si>
  <si>
    <r>
      <t xml:space="preserve">As of December 2025, the IRS has not yet released the official inflation adjustments for tax year 2026 (Revenue Procedure typically comes in late 2025 or early 2026). These are </t>
    </r>
    <r>
      <rPr>
        <b/>
        <sz val="11"/>
        <color theme="1"/>
        <rFont val="Aptos Narrow"/>
        <family val="2"/>
        <scheme val="minor"/>
      </rPr>
      <t>projected</t>
    </r>
    <r>
      <rPr>
        <sz val="11"/>
        <color theme="1"/>
        <rFont val="Aptos Narrow"/>
        <family val="2"/>
        <scheme val="minor"/>
      </rPr>
      <t xml:space="preserve"> estimates based on current inflation trends and standard IRS adjustment methods (usually around 3-4% increase, but actual depends on CPI data).</t>
    </r>
  </si>
  <si>
    <t>Projections vary slightly by source, but a common estimate (based on mid-2025 forecasts) is approximately a 2.5-3% adjustment upward from 2025 brackets.</t>
  </si>
  <si>
    <t>Taxable Income Range (Projected)</t>
  </si>
  <si>
    <t>$0 – $12,250</t>
  </si>
  <si>
    <t>$12,251 – $49,900</t>
  </si>
  <si>
    <t>$49,901 – $106,500</t>
  </si>
  <si>
    <t>$106,501 – $203,000</t>
  </si>
  <si>
    <t>$203,001 – $258,000</t>
  </si>
  <si>
    <t>$258,001 – $645,000</t>
  </si>
  <si>
    <t>Over $645,000</t>
  </si>
  <si>
    <t>1716 hrs</t>
  </si>
  <si>
    <t>0900 hrs</t>
  </si>
  <si>
    <t>0904 hrs</t>
  </si>
  <si>
    <t>Social secuity thresholds</t>
  </si>
  <si>
    <t>Filing Status</t>
  </si>
  <si>
    <t>Combined Income Range</t>
  </si>
  <si>
    <t>Up to This % of Benefits Taxable</t>
  </si>
  <si>
    <t>Married Filing Jointly</t>
  </si>
  <si>
    <t>$0 – $32,000</t>
  </si>
  <si>
    <t>$32,001 – $44,000</t>
  </si>
  <si>
    <t>Over $44,000</t>
  </si>
  <si>
    <t>total inc</t>
  </si>
  <si>
    <t>taxable (std ded)</t>
  </si>
  <si>
    <t>Married Joint tax brackets</t>
  </si>
  <si>
    <t>1703 hrs</t>
  </si>
  <si>
    <t>1130 hrs</t>
  </si>
  <si>
    <t>1345 hrs</t>
  </si>
  <si>
    <t>1709 hrs</t>
  </si>
  <si>
    <t>1526 hrs</t>
  </si>
  <si>
    <t>2030 hrs</t>
  </si>
  <si>
    <t>1826 hrs</t>
  </si>
  <si>
    <t>1156 hrs</t>
  </si>
  <si>
    <t>1549 hrs</t>
  </si>
  <si>
    <t>that base moves around and is currently at 355050 for a yearly of 15977</t>
  </si>
  <si>
    <t>Apr-3-2025</t>
  </si>
  <si>
    <t>Apr-3-2026</t>
  </si>
  <si>
    <t>Apr-3-2027</t>
  </si>
  <si>
    <t>62+</t>
  </si>
  <si>
    <t>63+</t>
  </si>
  <si>
    <t>64+</t>
  </si>
  <si>
    <t>age 65+ (420150) guarantee)</t>
  </si>
  <si>
    <t>age 65+ (.054*(curr_annuity_base))</t>
  </si>
  <si>
    <t>1625 hrs</t>
  </si>
  <si>
    <t>2054 hrs</t>
  </si>
  <si>
    <t>2104 hrs</t>
  </si>
  <si>
    <t>withdrawal</t>
  </si>
  <si>
    <t>1833 hrs</t>
  </si>
  <si>
    <t>upper limit</t>
  </si>
  <si>
    <t>lower limit</t>
  </si>
  <si>
    <t>soc sec counted as income</t>
  </si>
  <si>
    <t>soc sec thresholds</t>
  </si>
  <si>
    <t>total socsec</t>
  </si>
  <si>
    <t>1700 hrs</t>
  </si>
  <si>
    <t>taxable</t>
  </si>
  <si>
    <t xml:space="preserve">socsec not counted in inc </t>
  </si>
  <si>
    <t>monthly salary take-home</t>
  </si>
  <si>
    <t>1822 hrs</t>
  </si>
  <si>
    <t>1609 hrs</t>
  </si>
  <si>
    <t>@9.4mkt</t>
  </si>
  <si>
    <t>2025 IRMAA (medicare) brackets</t>
  </si>
  <si>
    <t>upper (bad) withdrawal rate guardrail used</t>
  </si>
  <si>
    <t>withdrawal equals this much in 2026</t>
  </si>
  <si>
    <t>Income for above calcs</t>
  </si>
  <si>
    <t>Sngl or Married Filing Separate</t>
  </si>
  <si>
    <t>Head of Household</t>
  </si>
  <si>
    <t>taxed income</t>
  </si>
  <si>
    <t>actual income used for IRMAA and OBB std deduction increase</t>
  </si>
  <si>
    <t>OBBB Bonus</t>
  </si>
  <si>
    <t>projected as-of 20260120</t>
  </si>
  <si>
    <t>2030`</t>
  </si>
  <si>
    <t>2115 hrs</t>
  </si>
  <si>
    <t>IRA current growth forecast</t>
  </si>
  <si>
    <t>2026 hrs</t>
  </si>
  <si>
    <t>yearly increase</t>
  </si>
  <si>
    <t>2025 Tax Rate</t>
  </si>
  <si>
    <t>1632 hrs</t>
  </si>
  <si>
    <t>taxes/yr</t>
  </si>
  <si>
    <t>bob declares at 65</t>
  </si>
  <si>
    <t>bob decl at 65 + 4 months</t>
  </si>
  <si>
    <t>bob decl at 65 + 6 months</t>
  </si>
  <si>
    <t>declare</t>
  </si>
  <si>
    <t>Bob Sep '26, jo dec '26</t>
  </si>
  <si>
    <t>Bob Jan '27, Jo Dec '27</t>
  </si>
  <si>
    <t>salary</t>
  </si>
  <si>
    <t>Jo decl at 65</t>
  </si>
  <si>
    <t>Jo decl at 65 + 1 month</t>
  </si>
  <si>
    <t>2026 calculator</t>
  </si>
  <si>
    <t>std ded</t>
  </si>
  <si>
    <t>2009 hrs</t>
  </si>
  <si>
    <t>part B</t>
  </si>
  <si>
    <t>IRMAA surcharge</t>
  </si>
  <si>
    <t>part D</t>
  </si>
  <si>
    <t>part C</t>
  </si>
  <si>
    <t>med adv</t>
  </si>
  <si>
    <t>medical</t>
  </si>
  <si>
    <t>hospital</t>
  </si>
  <si>
    <t>drugs</t>
  </si>
  <si>
    <t>2026 IRMAA (medicare) brackets</t>
  </si>
  <si>
    <t>For Married Filing Jointly (2024 return)</t>
  </si>
  <si>
    <t>For Married Filing Jointly (2023 return)</t>
  </si>
  <si>
    <t>12000 conversion</t>
  </si>
  <si>
    <t>5000 conversion</t>
  </si>
  <si>
    <t>2206 hrs</t>
  </si>
  <si>
    <t>1818 hrs</t>
  </si>
  <si>
    <t>1751 hrs</t>
  </si>
  <si>
    <t>2207 hrs</t>
  </si>
  <si>
    <t>ss</t>
  </si>
  <si>
    <t>standard deduction for 2026 (married filing jointly)</t>
  </si>
  <si>
    <t>std</t>
  </si>
  <si>
    <t>65+ yrs old per person</t>
  </si>
  <si>
    <t>OBBB per person thru 2028</t>
  </si>
  <si>
    <t>2047 hrs</t>
  </si>
  <si>
    <t>1842 hrs</t>
  </si>
  <si>
    <t>socsec total</t>
  </si>
  <si>
    <t>socsec * .85</t>
  </si>
  <si>
    <t>both in January</t>
  </si>
  <si>
    <t>1222 hrs</t>
  </si>
  <si>
    <t>first 10-15 (2025-2040) years forecast by "Experts"</t>
  </si>
  <si>
    <t>lower guardrail  (orig: 20%)</t>
  </si>
  <si>
    <t>upper guardrail (orig: 20%)</t>
  </si>
  <si>
    <t>withdrawal adjustment amount (orig 0.10)</t>
  </si>
  <si>
    <t>Return mean = 6.7% ; guardrails 10% / 5% adjustments</t>
  </si>
  <si>
    <t>Return mean = 6.7% ; guardrails 20% / 10% adjustments</t>
  </si>
  <si>
    <t>Return mean =9.4% ; guardrails 20% / 10% adjustments</t>
  </si>
  <si>
    <t>2014 hrs</t>
  </si>
  <si>
    <t>1929 hrs</t>
  </si>
  <si>
    <t>IRMAA MAGI</t>
  </si>
  <si>
    <t>withdraw</t>
  </si>
  <si>
    <t>taxed</t>
  </si>
  <si>
    <t>irma</t>
  </si>
  <si>
    <t>tax paid</t>
  </si>
  <si>
    <t>401k conversion</t>
  </si>
  <si>
    <t>40K from Bev</t>
  </si>
  <si>
    <t>probably 50,000 from Money Mkt, 50K from withdrawal</t>
  </si>
  <si>
    <t>50k of that from money mkt</t>
  </si>
  <si>
    <t>fixed</t>
  </si>
  <si>
    <t>invest return sum</t>
  </si>
  <si>
    <t>inflation sum</t>
  </si>
  <si>
    <t>sngl run mean</t>
  </si>
  <si>
    <t>since last April 3</t>
  </si>
  <si>
    <t>age 65+ (418500) guarantee)</t>
  </si>
  <si>
    <t>1921 hrs</t>
  </si>
  <si>
    <t>2027 (Jan for Bob)</t>
  </si>
  <si>
    <t>bob socsec increases 253 / month between 65 and 66</t>
  </si>
  <si>
    <t>age 63 (.045*curr_annuity_base)</t>
  </si>
  <si>
    <t>with annuity</t>
  </si>
  <si>
    <t>age 65 (.045*(curr_annuity_base))</t>
  </si>
  <si>
    <t>if ITERATIONS don't</t>
  </si>
  <si>
    <t xml:space="preserve">work, check </t>
  </si>
  <si>
    <t>File-Options-Formulas</t>
  </si>
  <si>
    <t>success 250k</t>
  </si>
  <si>
    <t>success $1</t>
  </si>
  <si>
    <t>population mean</t>
  </si>
  <si>
    <t>1554 hrs</t>
  </si>
  <si>
    <t>Return mean =9.4% ; guardrails 10% / 5% adjustments</t>
  </si>
  <si>
    <t>@9.4% mkt</t>
  </si>
  <si>
    <t>@6.7% mkt</t>
  </si>
  <si>
    <t>guardrail movement  pct</t>
  </si>
  <si>
    <t>1556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</si>
</sst>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&quot;$&quot;#,##0"/>
    <numFmt numFmtId="166" formatCode="0.0000"/>
    <numFmt numFmtId="167" formatCode="0.0%"/>
    <numFmt numFmtId="168" formatCode="0.0000%"/>
    <numFmt numFmtId="169" formatCode="[$-409]m/d/yy\ h:mm\ AM/PM;@"/>
    <numFmt numFmtId="170" formatCode="0.000"/>
    <numFmt numFmtId="171" formatCode="#,##0.0"/>
    <numFmt numFmtId="172" formatCode="0.00000"/>
    <numFmt numFmtId="173" formatCode="0.000%"/>
    <numFmt numFmtId="174" formatCode="_(&quot;$&quot;* #,##0_);_(&quot;$&quot;* \(#,##0\);_(&quot;$&quot;* &quot;-&quot;??_);_(@_)"/>
  </numFmts>
  <fonts count="36" x14ac:knownFonts="1"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22222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9"/>
      <color theme="1"/>
      <name val="Arial"/>
      <family val="2"/>
    </font>
    <font>
      <sz val="11"/>
      <color rgb="FF006100"/>
      <name val="Aptos Narrow"/>
      <family val="2"/>
      <scheme val="minor"/>
    </font>
    <font>
      <b/>
      <sz val="10"/>
      <color rgb="FF222222"/>
      <name val="Arial"/>
      <family val="2"/>
    </font>
    <font>
      <sz val="11"/>
      <color theme="1"/>
      <name val="Aptos Narrow"/>
      <family val="2"/>
    </font>
    <font>
      <sz val="11"/>
      <color theme="1"/>
      <name val="Consolas"/>
      <family val="3"/>
    </font>
    <font>
      <sz val="9"/>
      <color theme="1"/>
      <name val="Arial"/>
      <family val="2"/>
    </font>
    <font>
      <sz val="7"/>
      <color rgb="FF242424"/>
      <name val="Segoe UI"/>
      <family val="2"/>
    </font>
    <font>
      <sz val="11"/>
      <color rgb="FF9C0006"/>
      <name val="Aptos Narrow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8"/>
      <color rgb="FF464649"/>
      <name val="Arial"/>
      <family val="2"/>
    </font>
    <font>
      <sz val="11"/>
      <color rgb="FF000000"/>
      <name val="Aptos Narrow"/>
      <family val="2"/>
    </font>
    <font>
      <sz val="11"/>
      <color rgb="FF9C5700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ptos Narrow"/>
      <family val="2"/>
      <scheme val="minor"/>
    </font>
    <font>
      <b/>
      <sz val="11"/>
      <color rgb="FFC34200"/>
      <name val="Aptos Narrow"/>
      <family val="2"/>
      <scheme val="minor"/>
    </font>
    <font>
      <b/>
      <sz val="11"/>
      <color rgb="FFED0000"/>
      <name val="Aptos Narrow"/>
      <family val="2"/>
      <scheme val="minor"/>
    </font>
    <font>
      <i/>
      <sz val="11"/>
      <color rgb="FF747474"/>
      <name val="Aptos Narrow"/>
      <family val="2"/>
      <scheme val="minor"/>
    </font>
    <font>
      <b/>
      <sz val="11"/>
      <color rgb="FF9B0900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E7F7FD"/>
        <bgColor indexed="64"/>
      </patternFill>
    </fill>
    <fill>
      <patternFill patternType="solid">
        <fgColor rgb="FFF8E4F6"/>
        <bgColor indexed="64"/>
      </patternFill>
    </fill>
    <fill>
      <patternFill patternType="solid">
        <fgColor rgb="FFF2E4F6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4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2" borderId="2" applyNumberFormat="0" applyAlignment="0" applyProtection="0"/>
    <xf numFmtId="0" fontId="2" fillId="3" borderId="3" applyNumberFormat="0" applyFont="0" applyAlignment="0" applyProtection="0"/>
    <xf numFmtId="0" fontId="2" fillId="4" borderId="0" applyNumberFormat="0" applyBorder="0" applyAlignment="0" applyProtection="0"/>
    <xf numFmtId="0" fontId="4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7" fillId="10" borderId="0" applyNumberFormat="0" applyBorder="0" applyAlignment="0" applyProtection="0"/>
    <xf numFmtId="0" fontId="26" fillId="15" borderId="0" applyNumberFormat="0" applyBorder="0" applyAlignment="0" applyProtection="0"/>
    <xf numFmtId="0" fontId="2" fillId="19" borderId="0" applyNumberFormat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20" borderId="0" applyNumberFormat="0" applyBorder="0" applyAlignment="0" applyProtection="0"/>
  </cellStyleXfs>
  <cellXfs count="279">
    <xf numFmtId="0" fontId="0" fillId="0" borderId="0" xfId="0"/>
    <xf numFmtId="0" fontId="0" fillId="0" borderId="0" xfId="0" quotePrefix="1"/>
    <xf numFmtId="0" fontId="3" fillId="2" borderId="2" xfId="2"/>
    <xf numFmtId="164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0" fontId="3" fillId="2" borderId="2" xfId="2" applyAlignment="1">
      <alignment wrapText="1"/>
    </xf>
    <xf numFmtId="3" fontId="0" fillId="0" borderId="0" xfId="0" applyNumberFormat="1"/>
    <xf numFmtId="3" fontId="3" fillId="2" borderId="2" xfId="2" applyNumberFormat="1"/>
    <xf numFmtId="15" fontId="0" fillId="0" borderId="0" xfId="0" applyNumberFormat="1"/>
    <xf numFmtId="3" fontId="0" fillId="0" borderId="0" xfId="0" applyNumberFormat="1" applyAlignment="1">
      <alignment wrapText="1"/>
    </xf>
    <xf numFmtId="3" fontId="3" fillId="2" borderId="2" xfId="2" applyNumberFormat="1" applyAlignment="1">
      <alignment wrapText="1"/>
    </xf>
    <xf numFmtId="0" fontId="3" fillId="2" borderId="4" xfId="2" applyBorder="1"/>
    <xf numFmtId="0" fontId="3" fillId="2" borderId="0" xfId="2" applyBorder="1"/>
    <xf numFmtId="0" fontId="3" fillId="2" borderId="5" xfId="2" applyBorder="1"/>
    <xf numFmtId="164" fontId="3" fillId="2" borderId="5" xfId="2" applyNumberFormat="1" applyBorder="1"/>
    <xf numFmtId="0" fontId="3" fillId="2" borderId="6" xfId="2" applyBorder="1"/>
    <xf numFmtId="1" fontId="3" fillId="2" borderId="0" xfId="2" applyNumberFormat="1" applyBorder="1"/>
    <xf numFmtId="0" fontId="4" fillId="0" borderId="0" xfId="5"/>
    <xf numFmtId="10" fontId="4" fillId="0" borderId="0" xfId="5" applyNumberFormat="1"/>
    <xf numFmtId="3" fontId="5" fillId="0" borderId="0" xfId="0" applyNumberFormat="1" applyFont="1"/>
    <xf numFmtId="3" fontId="6" fillId="5" borderId="7" xfId="0" applyNumberFormat="1" applyFont="1" applyFill="1" applyBorder="1"/>
    <xf numFmtId="0" fontId="0" fillId="0" borderId="7" xfId="0" applyBorder="1"/>
    <xf numFmtId="3" fontId="0" fillId="0" borderId="7" xfId="0" applyNumberFormat="1" applyBorder="1"/>
    <xf numFmtId="164" fontId="0" fillId="0" borderId="7" xfId="0" applyNumberFormat="1" applyBorder="1"/>
    <xf numFmtId="0" fontId="3" fillId="2" borderId="7" xfId="2" applyBorder="1"/>
    <xf numFmtId="164" fontId="3" fillId="2" borderId="7" xfId="2" applyNumberFormat="1" applyBorder="1"/>
    <xf numFmtId="0" fontId="0" fillId="0" borderId="7" xfId="0" quotePrefix="1" applyBorder="1"/>
    <xf numFmtId="0" fontId="2" fillId="4" borderId="7" xfId="4" applyBorder="1"/>
    <xf numFmtId="0" fontId="1" fillId="2" borderId="7" xfId="1" applyBorder="1"/>
    <xf numFmtId="3" fontId="2" fillId="4" borderId="7" xfId="4" applyNumberFormat="1" applyBorder="1"/>
    <xf numFmtId="164" fontId="2" fillId="4" borderId="7" xfId="4" applyNumberFormat="1" applyBorder="1"/>
    <xf numFmtId="3" fontId="3" fillId="2" borderId="7" xfId="2" applyNumberFormat="1" applyBorder="1"/>
    <xf numFmtId="0" fontId="0" fillId="3" borderId="7" xfId="3" applyFont="1" applyBorder="1"/>
    <xf numFmtId="3" fontId="0" fillId="3" borderId="7" xfId="3" applyNumberFormat="1" applyFont="1" applyBorder="1"/>
    <xf numFmtId="165" fontId="0" fillId="0" borderId="0" xfId="0" applyNumberFormat="1"/>
    <xf numFmtId="3" fontId="7" fillId="0" borderId="0" xfId="0" applyNumberFormat="1" applyFont="1"/>
    <xf numFmtId="3" fontId="2" fillId="0" borderId="0" xfId="0" applyNumberFormat="1" applyFont="1"/>
    <xf numFmtId="0" fontId="2" fillId="0" borderId="0" xfId="0" applyFont="1"/>
    <xf numFmtId="10" fontId="2" fillId="0" borderId="0" xfId="0" applyNumberFormat="1" applyFont="1"/>
    <xf numFmtId="3" fontId="8" fillId="0" borderId="0" xfId="0" applyNumberFormat="1" applyFont="1"/>
    <xf numFmtId="0" fontId="0" fillId="0" borderId="0" xfId="0" applyAlignment="1">
      <alignment horizontal="left"/>
    </xf>
    <xf numFmtId="3" fontId="9" fillId="0" borderId="0" xfId="0" applyNumberFormat="1" applyFont="1"/>
    <xf numFmtId="164" fontId="0" fillId="6" borderId="7" xfId="0" applyNumberFormat="1" applyFill="1" applyBorder="1"/>
    <xf numFmtId="9" fontId="0" fillId="0" borderId="0" xfId="0" applyNumberFormat="1"/>
    <xf numFmtId="4" fontId="10" fillId="0" borderId="0" xfId="0" applyNumberFormat="1" applyFont="1"/>
    <xf numFmtId="3" fontId="11" fillId="7" borderId="0" xfId="6" applyNumberFormat="1"/>
    <xf numFmtId="4" fontId="12" fillId="0" borderId="0" xfId="0" applyNumberFormat="1" applyFont="1"/>
    <xf numFmtId="0" fontId="11" fillId="7" borderId="0" xfId="6"/>
    <xf numFmtId="0" fontId="3" fillId="2" borderId="8" xfId="2" applyBorder="1"/>
    <xf numFmtId="0" fontId="3" fillId="0" borderId="0" xfId="2" applyFill="1" applyBorder="1"/>
    <xf numFmtId="4" fontId="13" fillId="0" borderId="0" xfId="0" applyNumberFormat="1" applyFont="1"/>
    <xf numFmtId="0" fontId="3" fillId="2" borderId="9" xfId="2" applyBorder="1"/>
    <xf numFmtId="0" fontId="3" fillId="2" borderId="10" xfId="2" applyBorder="1"/>
    <xf numFmtId="0" fontId="3" fillId="2" borderId="11" xfId="2" applyBorder="1"/>
    <xf numFmtId="3" fontId="0" fillId="0" borderId="12" xfId="0" applyNumberFormat="1" applyBorder="1"/>
    <xf numFmtId="164" fontId="0" fillId="0" borderId="13" xfId="0" applyNumberFormat="1" applyBorder="1"/>
    <xf numFmtId="3" fontId="0" fillId="0" borderId="14" xfId="0" applyNumberFormat="1" applyBorder="1"/>
    <xf numFmtId="164" fontId="0" fillId="0" borderId="15" xfId="0" applyNumberFormat="1" applyBorder="1"/>
    <xf numFmtId="3" fontId="2" fillId="4" borderId="16" xfId="4" applyNumberFormat="1" applyBorder="1"/>
    <xf numFmtId="164" fontId="2" fillId="4" borderId="17" xfId="4" applyNumberFormat="1" applyBorder="1"/>
    <xf numFmtId="3" fontId="0" fillId="3" borderId="20" xfId="3" applyNumberFormat="1" applyFont="1" applyBorder="1"/>
    <xf numFmtId="164" fontId="0" fillId="3" borderId="21" xfId="3" applyNumberFormat="1" applyFont="1" applyBorder="1"/>
    <xf numFmtId="3" fontId="6" fillId="0" borderId="0" xfId="6" applyNumberFormat="1" applyFont="1" applyFill="1"/>
    <xf numFmtId="3" fontId="6" fillId="0" borderId="0" xfId="0" applyNumberFormat="1" applyFont="1"/>
    <xf numFmtId="166" fontId="0" fillId="0" borderId="0" xfId="0" applyNumberFormat="1" applyAlignment="1">
      <alignment wrapText="1"/>
    </xf>
    <xf numFmtId="0" fontId="14" fillId="0" borderId="0" xfId="0" quotePrefix="1" applyFont="1"/>
    <xf numFmtId="167" fontId="0" fillId="0" borderId="0" xfId="0" applyNumberFormat="1"/>
    <xf numFmtId="10" fontId="0" fillId="0" borderId="0" xfId="0" applyNumberFormat="1"/>
    <xf numFmtId="168" fontId="0" fillId="0" borderId="0" xfId="0" applyNumberFormat="1"/>
    <xf numFmtId="4" fontId="15" fillId="0" borderId="0" xfId="0" applyNumberFormat="1" applyFont="1"/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 wrapText="1" indent="1"/>
    </xf>
    <xf numFmtId="3" fontId="0" fillId="0" borderId="0" xfId="0" quotePrefix="1" applyNumberFormat="1"/>
    <xf numFmtId="3" fontId="0" fillId="8" borderId="0" xfId="0" applyNumberFormat="1" applyFill="1"/>
    <xf numFmtId="1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0" fontId="0" fillId="9" borderId="0" xfId="0" applyNumberFormat="1" applyFill="1" applyAlignment="1">
      <alignment horizontal="right"/>
    </xf>
    <xf numFmtId="167" fontId="0" fillId="9" borderId="0" xfId="0" applyNumberFormat="1" applyFill="1"/>
    <xf numFmtId="3" fontId="17" fillId="10" borderId="0" xfId="7" applyNumberFormat="1"/>
    <xf numFmtId="3" fontId="0" fillId="11" borderId="0" xfId="0" applyNumberFormat="1" applyFill="1"/>
    <xf numFmtId="3" fontId="11" fillId="7" borderId="22" xfId="6" applyNumberFormat="1" applyBorder="1"/>
    <xf numFmtId="169" fontId="11" fillId="7" borderId="22" xfId="6" quotePrefix="1" applyNumberFormat="1" applyBorder="1"/>
    <xf numFmtId="0" fontId="11" fillId="7" borderId="22" xfId="6" applyBorder="1"/>
    <xf numFmtId="3" fontId="11" fillId="7" borderId="23" xfId="6" applyNumberFormat="1" applyBorder="1"/>
    <xf numFmtId="0" fontId="0" fillId="12" borderId="0" xfId="0" applyFill="1"/>
    <xf numFmtId="0" fontId="0" fillId="12" borderId="0" xfId="0" applyFill="1" applyAlignment="1">
      <alignment wrapText="1"/>
    </xf>
    <xf numFmtId="164" fontId="0" fillId="12" borderId="0" xfId="0" applyNumberFormat="1" applyFill="1"/>
    <xf numFmtId="10" fontId="0" fillId="12" borderId="0" xfId="0" applyNumberFormat="1" applyFill="1"/>
    <xf numFmtId="3" fontId="0" fillId="12" borderId="0" xfId="0" applyNumberFormat="1" applyFill="1"/>
    <xf numFmtId="3" fontId="11" fillId="0" borderId="0" xfId="6" applyNumberFormat="1" applyFill="1"/>
    <xf numFmtId="4" fontId="18" fillId="0" borderId="0" xfId="0" applyNumberFormat="1" applyFont="1"/>
    <xf numFmtId="0" fontId="0" fillId="13" borderId="0" xfId="0" applyFill="1"/>
    <xf numFmtId="3" fontId="0" fillId="13" borderId="0" xfId="0" applyNumberFormat="1" applyFill="1"/>
    <xf numFmtId="167" fontId="0" fillId="13" borderId="0" xfId="0" applyNumberFormat="1" applyFill="1"/>
    <xf numFmtId="4" fontId="19" fillId="0" borderId="0" xfId="0" applyNumberFormat="1" applyFont="1"/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4" fontId="20" fillId="0" borderId="0" xfId="0" applyNumberFormat="1" applyFont="1"/>
    <xf numFmtId="0" fontId="0" fillId="14" borderId="0" xfId="0" applyFill="1"/>
    <xf numFmtId="3" fontId="0" fillId="14" borderId="0" xfId="0" applyNumberFormat="1" applyFill="1"/>
    <xf numFmtId="4" fontId="21" fillId="0" borderId="0" xfId="0" applyNumberFormat="1" applyFont="1"/>
    <xf numFmtId="3" fontId="2" fillId="0" borderId="0" xfId="6" applyNumberFormat="1" applyFont="1" applyFill="1"/>
    <xf numFmtId="0" fontId="0" fillId="9" borderId="0" xfId="0" applyFill="1"/>
    <xf numFmtId="3" fontId="0" fillId="9" borderId="0" xfId="0" applyNumberFormat="1" applyFill="1"/>
    <xf numFmtId="10" fontId="0" fillId="9" borderId="0" xfId="0" applyNumberFormat="1" applyFill="1"/>
    <xf numFmtId="1" fontId="0" fillId="9" borderId="0" xfId="0" applyNumberFormat="1" applyFill="1" applyAlignment="1">
      <alignment horizontal="right"/>
    </xf>
    <xf numFmtId="4" fontId="22" fillId="0" borderId="0" xfId="0" applyNumberFormat="1" applyFont="1"/>
    <xf numFmtId="4" fontId="23" fillId="0" borderId="0" xfId="0" applyNumberFormat="1" applyFont="1"/>
    <xf numFmtId="0" fontId="24" fillId="0" borderId="0" xfId="0" applyFont="1"/>
    <xf numFmtId="0" fontId="5" fillId="0" borderId="7" xfId="0" applyFont="1" applyBorder="1" applyAlignment="1">
      <alignment horizontal="center" vertical="top"/>
    </xf>
    <xf numFmtId="0" fontId="26" fillId="15" borderId="0" xfId="8"/>
    <xf numFmtId="2" fontId="0" fillId="0" borderId="0" xfId="0" applyNumberFormat="1"/>
    <xf numFmtId="164" fontId="6" fillId="0" borderId="0" xfId="0" applyNumberFormat="1" applyFont="1"/>
    <xf numFmtId="170" fontId="0" fillId="0" borderId="0" xfId="0" applyNumberFormat="1"/>
    <xf numFmtId="167" fontId="0" fillId="0" borderId="22" xfId="0" applyNumberFormat="1" applyBorder="1"/>
    <xf numFmtId="3" fontId="0" fillId="0" borderId="0" xfId="0" applyNumberFormat="1" applyAlignment="1">
      <alignment horizontal="left"/>
    </xf>
    <xf numFmtId="16" fontId="0" fillId="0" borderId="0" xfId="0" applyNumberFormat="1"/>
    <xf numFmtId="9" fontId="0" fillId="0" borderId="0" xfId="0" quotePrefix="1" applyNumberFormat="1"/>
    <xf numFmtId="170" fontId="0" fillId="9" borderId="0" xfId="0" applyNumberFormat="1" applyFill="1"/>
    <xf numFmtId="0" fontId="27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0" applyFont="1"/>
    <xf numFmtId="0" fontId="0" fillId="0" borderId="0" xfId="0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3" fontId="0" fillId="0" borderId="0" xfId="0" applyNumberFormat="1" applyAlignment="1">
      <alignment horizontal="right"/>
    </xf>
    <xf numFmtId="0" fontId="0" fillId="16" borderId="7" xfId="0" applyFill="1" applyBorder="1"/>
    <xf numFmtId="0" fontId="0" fillId="17" borderId="7" xfId="0" applyFill="1" applyBorder="1"/>
    <xf numFmtId="3" fontId="0" fillId="17" borderId="7" xfId="0" applyNumberFormat="1" applyFill="1" applyBorder="1"/>
    <xf numFmtId="3" fontId="0" fillId="18" borderId="7" xfId="0" applyNumberFormat="1" applyFill="1" applyBorder="1"/>
    <xf numFmtId="164" fontId="0" fillId="18" borderId="7" xfId="0" applyNumberFormat="1" applyFill="1" applyBorder="1"/>
    <xf numFmtId="0" fontId="3" fillId="18" borderId="7" xfId="2" applyFill="1" applyBorder="1"/>
    <xf numFmtId="164" fontId="3" fillId="18" borderId="7" xfId="2" applyNumberFormat="1" applyFill="1" applyBorder="1"/>
    <xf numFmtId="0" fontId="3" fillId="18" borderId="9" xfId="2" applyFill="1" applyBorder="1"/>
    <xf numFmtId="3" fontId="0" fillId="18" borderId="14" xfId="0" applyNumberFormat="1" applyFill="1" applyBorder="1"/>
    <xf numFmtId="164" fontId="0" fillId="18" borderId="15" xfId="0" applyNumberFormat="1" applyFill="1" applyBorder="1"/>
    <xf numFmtId="0" fontId="0" fillId="0" borderId="0" xfId="0" applyAlignment="1">
      <alignment horizontal="left" vertical="center" wrapText="1"/>
    </xf>
    <xf numFmtId="3" fontId="0" fillId="0" borderId="0" xfId="0" applyNumberFormat="1" applyAlignment="1">
      <alignment vertical="center" wrapText="1"/>
    </xf>
    <xf numFmtId="3" fontId="0" fillId="0" borderId="0" xfId="0" applyNumberFormat="1" applyAlignment="1">
      <alignment horizontal="center"/>
    </xf>
    <xf numFmtId="165" fontId="0" fillId="0" borderId="25" xfId="0" applyNumberFormat="1" applyBorder="1"/>
    <xf numFmtId="10" fontId="0" fillId="0" borderId="0" xfId="0" quotePrefix="1" applyNumberFormat="1"/>
    <xf numFmtId="0" fontId="14" fillId="9" borderId="0" xfId="0" quotePrefix="1" applyFont="1" applyFill="1"/>
    <xf numFmtId="3" fontId="0" fillId="0" borderId="26" xfId="0" applyNumberFormat="1" applyBorder="1"/>
    <xf numFmtId="3" fontId="0" fillId="0" borderId="0" xfId="0" applyNumberFormat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0" borderId="15" xfId="0" applyNumberFormat="1" applyBorder="1"/>
    <xf numFmtId="3" fontId="0" fillId="0" borderId="27" xfId="0" applyNumberFormat="1" applyBorder="1"/>
    <xf numFmtId="3" fontId="0" fillId="0" borderId="28" xfId="0" applyNumberFormat="1" applyBorder="1"/>
    <xf numFmtId="0" fontId="0" fillId="0" borderId="28" xfId="0" applyBorder="1"/>
    <xf numFmtId="0" fontId="0" fillId="0" borderId="24" xfId="0" applyBorder="1"/>
    <xf numFmtId="0" fontId="5" fillId="0" borderId="7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5" fillId="0" borderId="12" xfId="0" applyFont="1" applyBorder="1"/>
    <xf numFmtId="6" fontId="0" fillId="0" borderId="28" xfId="0" applyNumberFormat="1" applyBorder="1" applyAlignment="1">
      <alignment vertical="center" wrapText="1"/>
    </xf>
    <xf numFmtId="6" fontId="0" fillId="0" borderId="27" xfId="0" applyNumberFormat="1" applyBorder="1" applyAlignment="1">
      <alignment vertical="center" wrapText="1"/>
    </xf>
    <xf numFmtId="0" fontId="0" fillId="0" borderId="27" xfId="0" applyBorder="1"/>
    <xf numFmtId="10" fontId="0" fillId="0" borderId="28" xfId="0" applyNumberFormat="1" applyBorder="1" applyAlignment="1">
      <alignment horizontal="center" vertical="center" wrapText="1"/>
    </xf>
    <xf numFmtId="3" fontId="0" fillId="0" borderId="14" xfId="0" applyNumberFormat="1" applyBorder="1" applyAlignment="1">
      <alignment horizontal="center"/>
    </xf>
    <xf numFmtId="3" fontId="0" fillId="0" borderId="14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/>
    </xf>
    <xf numFmtId="3" fontId="0" fillId="0" borderId="27" xfId="0" applyNumberFormat="1" applyBorder="1" applyAlignment="1">
      <alignment horizontal="center" vertical="center" wrapText="1"/>
    </xf>
    <xf numFmtId="0" fontId="0" fillId="0" borderId="26" xfId="0" applyBorder="1"/>
    <xf numFmtId="10" fontId="0" fillId="13" borderId="0" xfId="0" applyNumberFormat="1" applyFill="1"/>
    <xf numFmtId="1" fontId="0" fillId="13" borderId="0" xfId="0" applyNumberFormat="1" applyFill="1" applyAlignment="1">
      <alignment horizontal="right"/>
    </xf>
    <xf numFmtId="10" fontId="0" fillId="13" borderId="0" xfId="0" applyNumberFormat="1" applyFill="1" applyAlignment="1">
      <alignment horizontal="right"/>
    </xf>
    <xf numFmtId="170" fontId="0" fillId="13" borderId="0" xfId="0" applyNumberFormat="1" applyFill="1"/>
    <xf numFmtId="3" fontId="0" fillId="13" borderId="29" xfId="0" applyNumberFormat="1" applyFill="1" applyBorder="1"/>
    <xf numFmtId="0" fontId="0" fillId="0" borderId="25" xfId="0" applyBorder="1"/>
    <xf numFmtId="0" fontId="0" fillId="0" borderId="31" xfId="0" applyBorder="1"/>
    <xf numFmtId="0" fontId="0" fillId="0" borderId="32" xfId="0" applyBorder="1"/>
    <xf numFmtId="0" fontId="0" fillId="0" borderId="33" xfId="0" applyBorder="1" applyAlignment="1">
      <alignment vertical="center"/>
    </xf>
    <xf numFmtId="0" fontId="0" fillId="0" borderId="34" xfId="0" applyBorder="1"/>
    <xf numFmtId="0" fontId="0" fillId="0" borderId="33" xfId="0" applyBorder="1" applyAlignment="1">
      <alignment horizontal="left" vertical="center" indent="1"/>
    </xf>
    <xf numFmtId="0" fontId="0" fillId="0" borderId="35" xfId="0" applyBorder="1" applyAlignment="1">
      <alignment horizontal="left" vertical="center" indent="1"/>
    </xf>
    <xf numFmtId="0" fontId="0" fillId="0" borderId="36" xfId="0" applyBorder="1"/>
    <xf numFmtId="0" fontId="5" fillId="0" borderId="30" xfId="0" applyFont="1" applyBorder="1"/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9" fontId="0" fillId="0" borderId="34" xfId="0" applyNumberFormat="1" applyBorder="1" applyAlignment="1">
      <alignment vertical="center" wrapText="1"/>
    </xf>
    <xf numFmtId="0" fontId="0" fillId="0" borderId="25" xfId="0" applyBorder="1" applyAlignment="1">
      <alignment vertical="center" wrapText="1"/>
    </xf>
    <xf numFmtId="9" fontId="0" fillId="0" borderId="36" xfId="0" applyNumberFormat="1" applyBorder="1" applyAlignment="1">
      <alignment vertical="center" wrapText="1"/>
    </xf>
    <xf numFmtId="0" fontId="0" fillId="0" borderId="30" xfId="0" applyBorder="1"/>
    <xf numFmtId="0" fontId="0" fillId="0" borderId="33" xfId="0" applyBorder="1"/>
    <xf numFmtId="0" fontId="5" fillId="0" borderId="33" xfId="0" applyFont="1" applyBorder="1" applyAlignment="1">
      <alignment horizontal="center" vertical="center" wrapText="1"/>
    </xf>
    <xf numFmtId="9" fontId="0" fillId="0" borderId="33" xfId="0" applyNumberFormat="1" applyBorder="1" applyAlignment="1">
      <alignment vertical="center" wrapText="1"/>
    </xf>
    <xf numFmtId="9" fontId="0" fillId="0" borderId="35" xfId="0" applyNumberFormat="1" applyBorder="1" applyAlignment="1">
      <alignment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3" fontId="0" fillId="0" borderId="34" xfId="0" applyNumberFormat="1" applyBorder="1"/>
    <xf numFmtId="3" fontId="0" fillId="0" borderId="25" xfId="0" applyNumberFormat="1" applyBorder="1"/>
    <xf numFmtId="3" fontId="0" fillId="0" borderId="36" xfId="0" applyNumberFormat="1" applyBorder="1"/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center" vertical="center" wrapText="1"/>
    </xf>
    <xf numFmtId="10" fontId="0" fillId="0" borderId="15" xfId="0" applyNumberFormat="1" applyBorder="1" applyAlignment="1">
      <alignment horizontal="center" vertical="center" wrapText="1"/>
    </xf>
    <xf numFmtId="3" fontId="0" fillId="0" borderId="26" xfId="0" applyNumberFormat="1" applyBorder="1" applyAlignment="1">
      <alignment horizontal="center" vertical="center" wrapText="1"/>
    </xf>
    <xf numFmtId="10" fontId="0" fillId="0" borderId="26" xfId="0" applyNumberFormat="1" applyBorder="1" applyAlignment="1">
      <alignment horizontal="center" vertical="center" wrapText="1"/>
    </xf>
    <xf numFmtId="0" fontId="0" fillId="0" borderId="38" xfId="0" applyBorder="1"/>
    <xf numFmtId="0" fontId="0" fillId="0" borderId="37" xfId="0" applyBorder="1"/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4" xfId="0" applyNumberFormat="1" applyBorder="1"/>
    <xf numFmtId="9" fontId="0" fillId="0" borderId="27" xfId="0" applyNumberFormat="1" applyBorder="1"/>
    <xf numFmtId="0" fontId="0" fillId="0" borderId="39" xfId="0" applyBorder="1"/>
    <xf numFmtId="3" fontId="0" fillId="0" borderId="33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/>
    </xf>
    <xf numFmtId="3" fontId="0" fillId="0" borderId="35" xfId="0" applyNumberFormat="1" applyBorder="1" applyAlignment="1">
      <alignment horizontal="center" vertical="center"/>
    </xf>
    <xf numFmtId="4" fontId="0" fillId="0" borderId="25" xfId="0" applyNumberFormat="1" applyBorder="1"/>
    <xf numFmtId="4" fontId="0" fillId="0" borderId="34" xfId="0" applyNumberFormat="1" applyBorder="1"/>
    <xf numFmtId="4" fontId="0" fillId="0" borderId="36" xfId="0" applyNumberFormat="1" applyBorder="1"/>
    <xf numFmtId="171" fontId="0" fillId="0" borderId="0" xfId="0" applyNumberFormat="1"/>
    <xf numFmtId="171" fontId="0" fillId="0" borderId="25" xfId="0" applyNumberFormat="1" applyBorder="1"/>
    <xf numFmtId="0" fontId="31" fillId="2" borderId="7" xfId="2" applyFont="1" applyBorder="1"/>
    <xf numFmtId="3" fontId="31" fillId="2" borderId="7" xfId="2" applyNumberFormat="1" applyFont="1" applyBorder="1"/>
    <xf numFmtId="164" fontId="31" fillId="2" borderId="7" xfId="2" applyNumberFormat="1" applyFont="1" applyBorder="1"/>
    <xf numFmtId="3" fontId="31" fillId="2" borderId="18" xfId="2" applyNumberFormat="1" applyFont="1" applyBorder="1"/>
    <xf numFmtId="164" fontId="31" fillId="2" borderId="19" xfId="2" applyNumberFormat="1" applyFont="1" applyBorder="1"/>
    <xf numFmtId="10" fontId="33" fillId="0" borderId="0" xfId="5" applyNumberFormat="1" applyFont="1"/>
    <xf numFmtId="0" fontId="34" fillId="2" borderId="7" xfId="2" applyFont="1" applyBorder="1"/>
    <xf numFmtId="3" fontId="34" fillId="2" borderId="7" xfId="2" applyNumberFormat="1" applyFont="1" applyBorder="1"/>
    <xf numFmtId="0" fontId="31" fillId="2" borderId="0" xfId="2" applyFont="1" applyBorder="1"/>
    <xf numFmtId="3" fontId="31" fillId="2" borderId="2" xfId="2" applyNumberFormat="1" applyFont="1"/>
    <xf numFmtId="0" fontId="33" fillId="0" borderId="0" xfId="5" applyFont="1"/>
    <xf numFmtId="3" fontId="2" fillId="19" borderId="0" xfId="9" applyNumberFormat="1"/>
    <xf numFmtId="3" fontId="0" fillId="0" borderId="34" xfId="0" applyNumberFormat="1" applyBorder="1" applyAlignment="1">
      <alignment horizontal="center"/>
    </xf>
    <xf numFmtId="3" fontId="0" fillId="0" borderId="25" xfId="0" applyNumberFormat="1" applyBorder="1" applyAlignment="1">
      <alignment horizontal="center" vertical="center" wrapText="1"/>
    </xf>
    <xf numFmtId="3" fontId="0" fillId="0" borderId="36" xfId="0" applyNumberFormat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10" fontId="26" fillId="15" borderId="0" xfId="8" applyNumberFormat="1"/>
    <xf numFmtId="164" fontId="26" fillId="15" borderId="0" xfId="8" applyNumberFormat="1"/>
    <xf numFmtId="3" fontId="0" fillId="0" borderId="7" xfId="0" applyNumberFormat="1" applyBorder="1" applyAlignment="1">
      <alignment horizontal="center" vertical="center" wrapText="1"/>
    </xf>
    <xf numFmtId="0" fontId="35" fillId="0" borderId="0" xfId="0" applyFont="1"/>
    <xf numFmtId="3" fontId="0" fillId="0" borderId="0" xfId="0" applyNumberFormat="1" applyAlignment="1">
      <alignment horizontal="center" vertical="center"/>
    </xf>
    <xf numFmtId="172" fontId="0" fillId="0" borderId="0" xfId="0" applyNumberFormat="1"/>
    <xf numFmtId="0" fontId="0" fillId="0" borderId="0" xfId="0" quotePrefix="1" applyAlignment="1">
      <alignment horizontal="right"/>
    </xf>
    <xf numFmtId="0" fontId="33" fillId="0" borderId="0" xfId="5" quotePrefix="1" applyFont="1" applyAlignment="1">
      <alignment horizontal="right"/>
    </xf>
    <xf numFmtId="0" fontId="2" fillId="20" borderId="7" xfId="12" applyBorder="1"/>
    <xf numFmtId="3" fontId="2" fillId="20" borderId="7" xfId="12" applyNumberFormat="1" applyBorder="1"/>
    <xf numFmtId="164" fontId="2" fillId="20" borderId="7" xfId="12" applyNumberFormat="1" applyBorder="1"/>
    <xf numFmtId="0" fontId="4" fillId="0" borderId="7" xfId="5" applyBorder="1"/>
    <xf numFmtId="3" fontId="4" fillId="0" borderId="7" xfId="5" applyNumberFormat="1" applyBorder="1"/>
    <xf numFmtId="0" fontId="0" fillId="0" borderId="40" xfId="0" applyBorder="1"/>
    <xf numFmtId="3" fontId="0" fillId="0" borderId="40" xfId="0" applyNumberFormat="1" applyBorder="1"/>
    <xf numFmtId="164" fontId="3" fillId="2" borderId="40" xfId="2" applyNumberFormat="1" applyBorder="1"/>
    <xf numFmtId="164" fontId="0" fillId="0" borderId="40" xfId="0" applyNumberFormat="1" applyBorder="1"/>
    <xf numFmtId="0" fontId="3" fillId="2" borderId="40" xfId="2" applyBorder="1"/>
    <xf numFmtId="0" fontId="0" fillId="20" borderId="7" xfId="12" applyFont="1" applyBorder="1"/>
    <xf numFmtId="0" fontId="26" fillId="15" borderId="12" xfId="8" applyBorder="1"/>
    <xf numFmtId="0" fontId="26" fillId="15" borderId="24" xfId="8" applyBorder="1"/>
    <xf numFmtId="0" fontId="26" fillId="15" borderId="27" xfId="8" applyBorder="1"/>
    <xf numFmtId="0" fontId="26" fillId="15" borderId="26" xfId="8" applyBorder="1"/>
    <xf numFmtId="0" fontId="26" fillId="15" borderId="28" xfId="8" applyBorder="1"/>
    <xf numFmtId="10" fontId="0" fillId="0" borderId="0" xfId="11" applyNumberFormat="1" applyFont="1"/>
    <xf numFmtId="173" fontId="0" fillId="0" borderId="0" xfId="0" applyNumberFormat="1"/>
    <xf numFmtId="9" fontId="11" fillId="7" borderId="7" xfId="6" applyNumberFormat="1" applyBorder="1"/>
    <xf numFmtId="174" fontId="0" fillId="0" borderId="0" xfId="10" applyNumberFormat="1" applyFont="1"/>
    <xf numFmtId="0" fontId="0" fillId="0" borderId="0" xfId="0" applyAlignment="1">
      <alignment wrapText="1"/>
    </xf>
    <xf numFmtId="3" fontId="32" fillId="0" borderId="0" xfId="0" applyNumberFormat="1" applyFont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wrapText="1"/>
    </xf>
    <xf numFmtId="0" fontId="0" fillId="0" borderId="0" xfId="0" quotePrefix="1" applyAlignment="1">
      <alignment horizontal="right"/>
    </xf>
    <xf numFmtId="0" fontId="33" fillId="0" borderId="0" xfId="5" quotePrefix="1" applyFont="1" applyAlignment="1">
      <alignment horizontal="right"/>
    </xf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25" xfId="0" applyBorder="1"/>
    <xf numFmtId="0" fontId="0" fillId="13" borderId="0" xfId="0" applyFill="1"/>
    <xf numFmtId="0" fontId="0" fillId="13" borderId="0" xfId="0" applyFill="1" applyAlignment="1">
      <alignment horizontal="left"/>
    </xf>
    <xf numFmtId="0" fontId="0" fillId="0" borderId="33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5" fillId="0" borderId="30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0" fontId="0" fillId="0" borderId="0" xfId="0" applyAlignment="1">
      <alignment horizontal="left" vertical="center" wrapText="1"/>
    </xf>
  </cellXfs>
  <cellStyles count="13">
    <cellStyle name="20% - Accent1" xfId="4" builtinId="30"/>
    <cellStyle name="20% - Accent3" xfId="12" builtinId="38"/>
    <cellStyle name="20% - Accent5" xfId="9" builtinId="46"/>
    <cellStyle name="Bad" xfId="7" builtinId="27"/>
    <cellStyle name="Calculation" xfId="2" builtinId="22"/>
    <cellStyle name="Currency" xfId="10" builtinId="4"/>
    <cellStyle name="Explanatory Text" xfId="5" builtinId="53"/>
    <cellStyle name="Good" xfId="6" builtinId="26"/>
    <cellStyle name="Neutral" xfId="8" builtinId="28"/>
    <cellStyle name="Normal" xfId="0" builtinId="0"/>
    <cellStyle name="Note" xfId="3" builtinId="10"/>
    <cellStyle name="Output" xfId="1" builtinId="21"/>
    <cellStyle name="Percent" xfId="11" builtinId="5"/>
  </cellStyles>
  <dxfs count="8">
    <dxf>
      <fill>
        <patternFill>
          <bgColor rgb="FFFE5122"/>
        </patternFill>
      </fill>
    </dxf>
    <dxf>
      <font>
        <color rgb="FFFFFF00"/>
      </font>
      <fill>
        <patternFill>
          <bgColor rgb="FF7030A0"/>
        </patternFill>
      </fill>
    </dxf>
    <dxf>
      <fill>
        <patternFill>
          <bgColor rgb="FFEFF9EB"/>
        </patternFill>
      </fill>
    </dxf>
    <dxf>
      <fill>
        <patternFill>
          <bgColor rgb="FFFBE5D9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color rgb="FFFFFF00"/>
      </font>
      <fill>
        <patternFill>
          <bgColor rgb="FF7030A0"/>
        </patternFill>
      </fill>
    </dxf>
    <dxf>
      <fill>
        <patternFill>
          <bgColor rgb="FFEFF9EB"/>
        </patternFill>
      </fill>
    </dxf>
    <dxf>
      <fill>
        <patternFill>
          <bgColor rgb="FFFBE5D9"/>
        </patternFill>
      </fill>
    </dxf>
  </dxfs>
  <tableStyles count="0" defaultTableStyle="TableStyleMedium2" defaultPivotStyle="PivotStyleLight16"/>
  <colors>
    <mruColors>
      <color rgb="FFF8E4F6"/>
      <color rgb="FFF2E4F6"/>
      <color rgb="FFF2CEEF"/>
      <color rgb="FFE7F7FD"/>
      <color rgb="FFDBD7FD"/>
      <color rgb="FFD9F5FF"/>
      <color rgb="FFFFB9B9"/>
      <color rgb="FFFBE5D9"/>
      <color rgb="FFEFF9EB"/>
      <color rgb="FFFFF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401K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775288092925684E-2"/>
          <c:y val="5.3080310567873573E-2"/>
          <c:w val="0.89979374469473572"/>
          <c:h val="0.81425227532705968"/>
        </c:manualLayout>
      </c:layout>
      <c:lineChart>
        <c:grouping val="standard"/>
        <c:varyColors val="0"/>
        <c:ser>
          <c:idx val="0"/>
          <c:order val="0"/>
          <c:tx>
            <c:strRef>
              <c:f>'401K'!$B$6</c:f>
              <c:strCache>
                <c:ptCount val="1"/>
                <c:pt idx="0">
                  <c:v>sum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'401K'!$C$1:$JM$1</c:f>
              <c:strCache>
                <c:ptCount val="22"/>
                <c:pt idx="0">
                  <c:v>20250120 - Trump</c:v>
                </c:pt>
                <c:pt idx="1">
                  <c:v>20250301</c:v>
                </c:pt>
                <c:pt idx="2">
                  <c:v>20250401</c:v>
                </c:pt>
                <c:pt idx="3">
                  <c:v>20250501</c:v>
                </c:pt>
                <c:pt idx="4">
                  <c:v>20250530</c:v>
                </c:pt>
                <c:pt idx="5">
                  <c:v>20250630</c:v>
                </c:pt>
                <c:pt idx="6">
                  <c:v>20250801</c:v>
                </c:pt>
                <c:pt idx="7">
                  <c:v>20250902</c:v>
                </c:pt>
                <c:pt idx="8">
                  <c:v>20251003</c:v>
                </c:pt>
                <c:pt idx="9">
                  <c:v>20251031</c:v>
                </c:pt>
                <c:pt idx="10">
                  <c:v>20251128</c:v>
                </c:pt>
                <c:pt idx="11">
                  <c:v>20260102</c:v>
                </c:pt>
                <c:pt idx="12">
                  <c:v>20260109</c:v>
                </c:pt>
                <c:pt idx="13">
                  <c:v>20260116</c:v>
                </c:pt>
                <c:pt idx="14">
                  <c:v>20260122</c:v>
                </c:pt>
                <c:pt idx="15">
                  <c:v>20260130</c:v>
                </c:pt>
                <c:pt idx="16">
                  <c:v>20260206</c:v>
                </c:pt>
                <c:pt idx="17">
                  <c:v>20260209</c:v>
                </c:pt>
                <c:pt idx="18">
                  <c:v>20260210</c:v>
                </c:pt>
                <c:pt idx="19">
                  <c:v>20260211</c:v>
                </c:pt>
                <c:pt idx="20">
                  <c:v>20260212</c:v>
                </c:pt>
                <c:pt idx="21">
                  <c:v>20260213</c:v>
                </c:pt>
              </c:strCache>
            </c:strRef>
          </c:cat>
          <c:val>
            <c:numRef>
              <c:f>'401K'!$C$6:$JM$6</c:f>
              <c:numCache>
                <c:formatCode>#,##0</c:formatCode>
                <c:ptCount val="22"/>
                <c:pt idx="0">
                  <c:v>1254656</c:v>
                </c:pt>
                <c:pt idx="1">
                  <c:v>1279759.97</c:v>
                </c:pt>
                <c:pt idx="2">
                  <c:v>1254734.82</c:v>
                </c:pt>
                <c:pt idx="3">
                  <c:v>1286086.51</c:v>
                </c:pt>
                <c:pt idx="4">
                  <c:v>1335400.01</c:v>
                </c:pt>
                <c:pt idx="5">
                  <c:v>1381084.8699999999</c:v>
                </c:pt>
                <c:pt idx="6">
                  <c:v>1389397.08</c:v>
                </c:pt>
                <c:pt idx="7">
                  <c:v>1426604.5999999999</c:v>
                </c:pt>
                <c:pt idx="8">
                  <c:v>1474740.1400000001</c:v>
                </c:pt>
                <c:pt idx="9">
                  <c:v>1484203.54</c:v>
                </c:pt>
                <c:pt idx="10">
                  <c:v>1490548.2</c:v>
                </c:pt>
                <c:pt idx="11">
                  <c:v>1503423.5300000003</c:v>
                </c:pt>
                <c:pt idx="12">
                  <c:v>1520419.52</c:v>
                </c:pt>
                <c:pt idx="13">
                  <c:v>1522135.81</c:v>
                </c:pt>
                <c:pt idx="14">
                  <c:v>1521764.47</c:v>
                </c:pt>
                <c:pt idx="15">
                  <c:v>1523267.8699999999</c:v>
                </c:pt>
                <c:pt idx="16">
                  <c:v>1531699.58</c:v>
                </c:pt>
                <c:pt idx="17">
                  <c:v>1537076.88</c:v>
                </c:pt>
                <c:pt idx="18">
                  <c:v>1538582.8099999998</c:v>
                </c:pt>
                <c:pt idx="19">
                  <c:v>1538331.99</c:v>
                </c:pt>
                <c:pt idx="20">
                  <c:v>1529143.69</c:v>
                </c:pt>
                <c:pt idx="21">
                  <c:v>1532459.4300000002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BC8-4A6C-ACFA-FD14BE7B43B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6868208"/>
        <c:axId val="246867248"/>
        <c:extLst/>
      </c:lineChart>
      <c:catAx>
        <c:axId val="24686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867248"/>
        <c:crosses val="autoZero"/>
        <c:auto val="1"/>
        <c:lblAlgn val="ctr"/>
        <c:lblOffset val="100"/>
        <c:noMultiLvlLbl val="0"/>
      </c:catAx>
      <c:valAx>
        <c:axId val="246867248"/>
        <c:scaling>
          <c:orientation val="minMax"/>
          <c:min val="1150000.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86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348643919510097E-3"/>
          <c:y val="0.92196477174457225"/>
          <c:w val="3.5553761498475583E-2"/>
          <c:h val="2.87684858670453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542924</xdr:colOff>
      <xdr:row>19</xdr:row>
      <xdr:rowOff>44450</xdr:rowOff>
    </xdr:from>
    <xdr:to>
      <xdr:col>262</xdr:col>
      <xdr:colOff>533400</xdr:colOff>
      <xdr:row>56</xdr:row>
      <xdr:rowOff>168275</xdr:rowOff>
    </xdr:to>
    <xdr:graphicFrame macro="">
      <xdr:nvGraphicFramePr>
        <xdr:cNvPr id="10" name="Chart 9" descr="current total amount of 401K &#10;">
          <a:extLst>
            <a:ext uri="{FF2B5EF4-FFF2-40B4-BE49-F238E27FC236}">
              <a16:creationId xmlns:a16="http://schemas.microsoft.com/office/drawing/2014/main" id="{F0352953-9A4E-4A57-8F90-E68235B55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593798</xdr:colOff>
      <xdr:row>13</xdr:row>
      <xdr:rowOff>3126</xdr:rowOff>
    </xdr:from>
    <xdr:to>
      <xdr:col>48</xdr:col>
      <xdr:colOff>476309</xdr:colOff>
      <xdr:row>29</xdr:row>
      <xdr:rowOff>39221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09E33D1-8633-481C-94C3-E489862075D6}"/>
            </a:ext>
          </a:extLst>
        </xdr:cNvPr>
        <xdr:cNvSpPr txBox="1"/>
      </xdr:nvSpPr>
      <xdr:spPr>
        <a:xfrm>
          <a:off x="23117622" y="2950273"/>
          <a:ext cx="4308834" cy="29496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Guyton-Klinger guardrails approach is a retirement withdrawal strategy developed by Jonathan Guyton and William Klinger in 2006. It was first published in an article in the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FPA Journal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The strategy prescribes five rules that define how much one can draw annually.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Initial withdrawal rate: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The Guyton-Klinger model says 99% of retirees can start with an initial draw rate of 5.2%-5.6%.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Upper guardrail: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If the portfolio withdrawal rate falls 20% lower than the initial rate due to increases in the portfolio value, increase dollar withdrawals by 10%. This is known as the “Prosperity Rule.”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Lower guardrail: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If the portfolio withdrawal rate rises 20% higher than the initial rate due to poor investment performance, reduce dollar withdrawals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 10%. This is known as the “Capital Preservation Rule.”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Inflation adjustments: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Based on the Consumer Price Index (CPI),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adjust withdrawals for inflation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up to a 6% annual increase.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Longevity: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When you expect to have 15 years or less remaining (I know, it's ind of morbid), you remove the lower guardrail rule.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127000</xdr:colOff>
          <xdr:row>0</xdr:row>
          <xdr:rowOff>304800</xdr:rowOff>
        </xdr:from>
        <xdr:to>
          <xdr:col>32</xdr:col>
          <xdr:colOff>1282700</xdr:colOff>
          <xdr:row>0</xdr:row>
          <xdr:rowOff>577850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Monte Carlo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406401</xdr:colOff>
      <xdr:row>3</xdr:row>
      <xdr:rowOff>34925</xdr:rowOff>
    </xdr:from>
    <xdr:to>
      <xdr:col>12</xdr:col>
      <xdr:colOff>514324</xdr:colOff>
      <xdr:row>18</xdr:row>
      <xdr:rowOff>132896</xdr:rowOff>
    </xdr:to>
    <xdr:pic>
      <xdr:nvPicPr>
        <xdr:cNvPr id="2" name="Picture 1" descr="Lifetime Withdrawal Percentages Table">
          <a:extLst>
            <a:ext uri="{FF2B5EF4-FFF2-40B4-BE49-F238E27FC236}">
              <a16:creationId xmlns:a16="http://schemas.microsoft.com/office/drawing/2014/main" id="{14669B16-B3B4-C2C3-663A-8E40E2059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401" y="577850"/>
          <a:ext cx="7420402" cy="280987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415925</xdr:colOff>
      <xdr:row>24</xdr:row>
      <xdr:rowOff>0</xdr:rowOff>
    </xdr:from>
    <xdr:to>
      <xdr:col>12</xdr:col>
      <xdr:colOff>437696</xdr:colOff>
      <xdr:row>62</xdr:row>
      <xdr:rowOff>92766</xdr:rowOff>
    </xdr:to>
    <xdr:pic>
      <xdr:nvPicPr>
        <xdr:cNvPr id="3" name="Picture 2" descr="Account Summary">
          <a:extLst>
            <a:ext uri="{FF2B5EF4-FFF2-40B4-BE49-F238E27FC236}">
              <a16:creationId xmlns:a16="http://schemas.microsoft.com/office/drawing/2014/main" id="{A1FB1E73-7FA1-4424-42E2-68E6D3400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925" y="4343400"/>
          <a:ext cx="7334250" cy="696346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563355</xdr:colOff>
      <xdr:row>29</xdr:row>
      <xdr:rowOff>25538</xdr:rowOff>
    </xdr:from>
    <xdr:to>
      <xdr:col>32</xdr:col>
      <xdr:colOff>1155011</xdr:colOff>
      <xdr:row>45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2C3CD7-2AF9-4E42-B71E-2B70B2353BF6}"/>
            </a:ext>
          </a:extLst>
        </xdr:cNvPr>
        <xdr:cNvSpPr txBox="1"/>
      </xdr:nvSpPr>
      <xdr:spPr>
        <a:xfrm>
          <a:off x="14136480" y="5759588"/>
          <a:ext cx="4315931" cy="29653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Guyton-Klinger guardrails approach is a retirement withdrawal strategy developed by Jonathan Guyton and William Klinger in 2006. It was first published in an article in the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FPA Journal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The strategy prescribes five rules that define how much one can draw annually.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Initial withdrawal rate: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The Guyton-Klinger model says 99% of retirees can start with an initial draw rate of 5.2%-5.6%.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Upper guardrail: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If the portfolio withdrawal rate falls 20% lower than the initial rate due to increases in the portfolio value, increase dollar withdrawals by 10%. This is known as the “Prosperity Rule.”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Lower guardrail: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If the portfolio withdrawal rate rises 20% higher than the initial rate due to poor investment performance, reduce dollar withdrawals by 10%. This is known as the “Capital Preservation Rule.”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Inflation adjustments: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Based on the Consumer Price Index (CPI), </a:t>
          </a:r>
          <a:r>
            <a:rPr lang="en-US" sz="11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adjust withdrawals for inflation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up to a 6% annual increase.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Longevity: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When you expect to have 15 years or less remaining (I know, it's kind of morbid), you remove the lower guardrail rule.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127000</xdr:colOff>
          <xdr:row>0</xdr:row>
          <xdr:rowOff>304800</xdr:rowOff>
        </xdr:from>
        <xdr:to>
          <xdr:col>32</xdr:col>
          <xdr:colOff>1282700</xdr:colOff>
          <xdr:row>0</xdr:row>
          <xdr:rowOff>577850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Monte 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8A3F-F46B-43EB-95A2-6E0602C2B537}">
  <sheetPr codeName="Sheet1">
    <pageSetUpPr fitToPage="1"/>
  </sheetPr>
  <dimension ref="A1:AO661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K59" sqref="K59"/>
    </sheetView>
  </sheetViews>
  <sheetFormatPr defaultRowHeight="14.5" x14ac:dyDescent="0.35"/>
  <cols>
    <col min="1" max="1" width="11.7265625" bestFit="1" customWidth="1"/>
    <col min="2" max="2" width="9.1796875" customWidth="1"/>
    <col min="3" max="3" width="10.6328125" customWidth="1"/>
    <col min="4" max="4" width="9.81640625" customWidth="1"/>
    <col min="5" max="5" width="9.7265625" customWidth="1"/>
    <col min="6" max="6" width="1.1796875" customWidth="1"/>
    <col min="7" max="7" width="10.36328125" customWidth="1"/>
    <col min="8" max="8" width="10.453125" customWidth="1"/>
    <col min="9" max="9" width="11.26953125" customWidth="1"/>
    <col min="10" max="10" width="9.08984375" customWidth="1"/>
    <col min="11" max="11" width="13" customWidth="1"/>
    <col min="12" max="12" width="9.26953125" bestFit="1" customWidth="1"/>
    <col min="13" max="13" width="19.81640625" customWidth="1"/>
    <col min="14" max="14" width="16" customWidth="1"/>
    <col min="15" max="15" width="12.90625" hidden="1" customWidth="1"/>
    <col min="16" max="16" width="15" style="2" hidden="1" customWidth="1"/>
    <col min="17" max="17" width="2.90625" hidden="1" customWidth="1"/>
    <col min="18" max="18" width="12.90625" customWidth="1"/>
    <col min="19" max="19" width="10.453125" style="2" bestFit="1" customWidth="1"/>
    <col min="20" max="20" width="2.90625" customWidth="1"/>
    <col min="21" max="21" width="12.90625" customWidth="1"/>
    <col min="22" max="22" width="7.26953125" style="2" customWidth="1"/>
    <col min="23" max="23" width="2.90625" customWidth="1"/>
    <col min="24" max="24" width="12.90625" hidden="1" customWidth="1"/>
    <col min="25" max="25" width="5.90625" style="2" hidden="1" customWidth="1"/>
    <col min="26" max="26" width="2.90625" hidden="1" customWidth="1"/>
    <col min="27" max="27" width="12.90625" customWidth="1"/>
    <col min="28" max="28" width="5.7265625" customWidth="1"/>
    <col min="29" max="29" width="2.90625" customWidth="1"/>
    <col min="30" max="30" width="11.453125" customWidth="1"/>
    <col min="31" max="31" width="5.453125" customWidth="1"/>
    <col min="32" max="32" width="2.90625" customWidth="1"/>
    <col min="33" max="33" width="11.7265625" customWidth="1"/>
    <col min="35" max="35" width="2.90625" customWidth="1"/>
    <col min="36" max="36" width="11.7265625" customWidth="1"/>
    <col min="38" max="38" width="2.90625" customWidth="1"/>
  </cols>
  <sheetData>
    <row r="1" spans="1:41" ht="75" customHeight="1" x14ac:dyDescent="0.35">
      <c r="B1" t="s">
        <v>2</v>
      </c>
      <c r="C1" t="s">
        <v>3</v>
      </c>
      <c r="D1" s="4" t="s">
        <v>27</v>
      </c>
      <c r="E1" s="4" t="s">
        <v>28</v>
      </c>
      <c r="G1" t="s">
        <v>4</v>
      </c>
      <c r="H1" t="s">
        <v>5</v>
      </c>
      <c r="J1" t="s">
        <v>7</v>
      </c>
      <c r="K1" t="s">
        <v>7</v>
      </c>
      <c r="L1" t="s">
        <v>6</v>
      </c>
      <c r="O1" s="4" t="s">
        <v>10</v>
      </c>
      <c r="P1" s="4" t="s">
        <v>11</v>
      </c>
      <c r="Q1" s="2"/>
      <c r="R1" s="4" t="s">
        <v>10</v>
      </c>
      <c r="S1" s="4" t="s">
        <v>11</v>
      </c>
      <c r="T1" s="6"/>
      <c r="U1" s="4" t="s">
        <v>10</v>
      </c>
      <c r="V1" s="4" t="s">
        <v>11</v>
      </c>
      <c r="W1" s="2"/>
      <c r="X1" s="4" t="s">
        <v>10</v>
      </c>
      <c r="Y1" s="4" t="s">
        <v>11</v>
      </c>
      <c r="Z1" s="2"/>
      <c r="AA1" s="4" t="s">
        <v>10</v>
      </c>
      <c r="AB1" s="4" t="s">
        <v>11</v>
      </c>
      <c r="AC1" s="2"/>
      <c r="AD1" s="4" t="s">
        <v>10</v>
      </c>
      <c r="AE1" s="4" t="s">
        <v>11</v>
      </c>
      <c r="AF1" s="2"/>
      <c r="AG1" s="4" t="s">
        <v>10</v>
      </c>
      <c r="AH1" s="4" t="s">
        <v>11</v>
      </c>
      <c r="AI1" s="2"/>
      <c r="AJ1" s="4" t="s">
        <v>10</v>
      </c>
      <c r="AK1" s="4" t="s">
        <v>11</v>
      </c>
      <c r="AL1" s="2"/>
      <c r="AM1" s="4" t="s">
        <v>10</v>
      </c>
      <c r="AN1" s="4" t="s">
        <v>11</v>
      </c>
      <c r="AO1" s="2"/>
    </row>
    <row r="2" spans="1:41" ht="14.5" customHeight="1" x14ac:dyDescent="0.35">
      <c r="M2" s="264" t="s">
        <v>22</v>
      </c>
      <c r="N2" s="264"/>
      <c r="O2" s="7">
        <v>94900</v>
      </c>
      <c r="P2" s="10"/>
      <c r="Q2" s="8"/>
      <c r="R2" s="10">
        <v>105000</v>
      </c>
      <c r="S2" s="10"/>
      <c r="T2" s="11"/>
      <c r="U2" s="10">
        <v>108000</v>
      </c>
      <c r="V2" s="10"/>
      <c r="W2" s="8"/>
      <c r="X2" s="10">
        <v>117000</v>
      </c>
      <c r="Y2" s="10"/>
      <c r="Z2" s="8"/>
      <c r="AA2" s="10">
        <v>120000</v>
      </c>
      <c r="AB2" s="10"/>
      <c r="AC2" s="8"/>
      <c r="AD2" s="10">
        <v>125000</v>
      </c>
      <c r="AE2" s="4"/>
      <c r="AF2" s="8"/>
      <c r="AG2" s="10">
        <v>130000</v>
      </c>
      <c r="AH2" s="4"/>
      <c r="AI2" s="8"/>
      <c r="AJ2" s="10">
        <v>133000</v>
      </c>
      <c r="AK2" s="4"/>
      <c r="AL2" s="8"/>
      <c r="AM2" s="10">
        <v>135000</v>
      </c>
      <c r="AN2" s="4"/>
      <c r="AO2" s="8"/>
    </row>
    <row r="3" spans="1:41" x14ac:dyDescent="0.35">
      <c r="B3" t="s">
        <v>6</v>
      </c>
      <c r="C3" t="s">
        <v>6</v>
      </c>
      <c r="J3" t="s">
        <v>1</v>
      </c>
      <c r="K3" t="s">
        <v>0</v>
      </c>
      <c r="L3" s="1" t="s">
        <v>8</v>
      </c>
      <c r="M3" s="265" t="s">
        <v>21</v>
      </c>
      <c r="N3" s="265"/>
      <c r="O3" s="20">
        <f>O2+healthcare_per_year+tax_per_year</f>
        <v>123900</v>
      </c>
      <c r="P3" s="7"/>
      <c r="Q3" s="8"/>
      <c r="R3" s="20">
        <f>R2++healthcare_per_year+tax_per_year</f>
        <v>134000</v>
      </c>
      <c r="S3" s="7"/>
      <c r="T3" s="8"/>
      <c r="U3" s="20">
        <f>U2+healthcare_per_year+tax_per_year</f>
        <v>137000</v>
      </c>
      <c r="V3" s="7"/>
      <c r="W3" s="8"/>
      <c r="X3" s="20">
        <f>X2+healthcare_per_year+tax_per_year</f>
        <v>146000</v>
      </c>
      <c r="Y3" s="7"/>
      <c r="Z3" s="8"/>
      <c r="AA3" s="20">
        <f>AA2+healthcare_per_year+tax_per_year</f>
        <v>149000</v>
      </c>
      <c r="AB3" s="7"/>
      <c r="AC3" s="8"/>
      <c r="AD3" s="7">
        <f>AD2+healthcare_per_year+tax_per_year</f>
        <v>154000</v>
      </c>
      <c r="AF3" s="8"/>
      <c r="AG3" s="7">
        <f>AG2+healthcare_per_year+tax_per_year</f>
        <v>159000</v>
      </c>
      <c r="AI3" s="8"/>
      <c r="AJ3" s="7">
        <f>AJ2+healthcare_per_year+tax_per_year</f>
        <v>162000</v>
      </c>
      <c r="AL3" s="8"/>
      <c r="AM3" s="7">
        <f>AM2+healthcare_per_year+tax_per_year</f>
        <v>164000</v>
      </c>
      <c r="AO3" s="8"/>
    </row>
    <row r="4" spans="1:41" x14ac:dyDescent="0.35">
      <c r="L4" s="1"/>
      <c r="M4" s="266" t="s">
        <v>24</v>
      </c>
      <c r="N4" s="266"/>
      <c r="O4" s="19">
        <f>O10/[0]!CURRENT_401K</f>
        <v>1.3838644148117056E-2</v>
      </c>
      <c r="P4"/>
      <c r="Q4" s="2"/>
      <c r="R4" s="222">
        <f>R10/[0]!CURRENT_401K</f>
        <v>2.0403126692933739E-2</v>
      </c>
      <c r="S4"/>
      <c r="T4" s="2"/>
      <c r="U4" s="222">
        <f>U10/[0]!CURRENT_401K</f>
        <v>2.2352972993374336E-2</v>
      </c>
      <c r="V4"/>
      <c r="W4" s="2"/>
      <c r="X4" s="19">
        <f>X10/[0]!CURRENT_401K</f>
        <v>2.8202511894696133E-2</v>
      </c>
      <c r="Y4"/>
      <c r="Z4" s="2"/>
      <c r="AA4" s="222">
        <f>AA10/[0]!CURRENT_401K</f>
        <v>3.015235819513673E-2</v>
      </c>
      <c r="AC4" s="2"/>
      <c r="AD4" s="222">
        <f>AD10/[0]!CURRENT_401K</f>
        <v>3.3402102029204392E-2</v>
      </c>
      <c r="AF4" s="2"/>
      <c r="AG4" s="222">
        <f>AG10/[0]!CURRENT_401K</f>
        <v>3.665184586327206E-2</v>
      </c>
      <c r="AI4" s="2"/>
      <c r="AJ4" s="222">
        <f>AJ10/[0]!CURRENT_401K</f>
        <v>3.8601692163712654E-2</v>
      </c>
      <c r="AL4" s="2"/>
      <c r="AM4" s="222">
        <f>AM10/[0]!CURRENT_401K</f>
        <v>3.9901589697339722E-2</v>
      </c>
      <c r="AO4" s="2"/>
    </row>
    <row r="5" spans="1:41" x14ac:dyDescent="0.35">
      <c r="P5" s="3"/>
      <c r="Q5" s="14"/>
      <c r="S5" s="3"/>
      <c r="T5" s="15"/>
      <c r="V5" s="3"/>
      <c r="W5" s="14"/>
      <c r="Y5" s="3"/>
      <c r="Z5" s="14"/>
      <c r="AB5" s="3"/>
      <c r="AC5" s="2"/>
      <c r="AE5" s="3"/>
      <c r="AF5" s="2"/>
      <c r="AH5" s="3"/>
      <c r="AI5" s="2"/>
      <c r="AK5" s="3"/>
      <c r="AL5" s="2"/>
      <c r="AN5" s="3"/>
      <c r="AO5" s="2"/>
    </row>
    <row r="6" spans="1:41" hidden="1" x14ac:dyDescent="0.35">
      <c r="B6" s="22">
        <v>62</v>
      </c>
      <c r="C6" s="22">
        <v>61</v>
      </c>
      <c r="D6" s="22">
        <v>2607</v>
      </c>
      <c r="E6" s="22">
        <v>0</v>
      </c>
      <c r="F6" s="22"/>
      <c r="G6" s="22">
        <f>D6*12</f>
        <v>31284</v>
      </c>
      <c r="H6" s="22">
        <f t="shared" ref="H6:H15" si="0">E6*12</f>
        <v>0</v>
      </c>
      <c r="I6" s="22"/>
      <c r="J6" s="22">
        <f>G6+H6</f>
        <v>31284</v>
      </c>
      <c r="K6" s="22">
        <f>G6+0</f>
        <v>31284</v>
      </c>
      <c r="L6" s="23">
        <f t="shared" ref="L6:L15" si="1">$K6+K$56</f>
        <v>53972.1</v>
      </c>
      <c r="M6" s="23"/>
      <c r="N6" s="22"/>
      <c r="O6" s="23">
        <f t="shared" ref="O6:O15" si="2">O$3-$L6</f>
        <v>69927.899999999994</v>
      </c>
      <c r="P6" s="24">
        <f t="shared" ref="P6:P15" si="3">CURRENT_401K/O6</f>
        <v>22.002416917996964</v>
      </c>
      <c r="Q6" s="25"/>
      <c r="R6" s="23">
        <f t="shared" ref="R6:R15" si="4">R$3-$L6</f>
        <v>80027.899999999994</v>
      </c>
      <c r="S6" s="24">
        <f t="shared" ref="S6:S15" si="5">CURRENT_401K/R6</f>
        <v>19.225580203903888</v>
      </c>
      <c r="T6" s="26"/>
      <c r="U6" s="23">
        <f t="shared" ref="U6:U15" si="6">U$3-$L6</f>
        <v>83027.899999999994</v>
      </c>
      <c r="V6" s="24">
        <f t="shared" ref="V6:V15" si="7">CURRENT_401K/U6</f>
        <v>18.530913223145472</v>
      </c>
      <c r="W6" s="25"/>
      <c r="X6" s="23">
        <f t="shared" ref="X6:X15" si="8">X$3-$L6</f>
        <v>92027.9</v>
      </c>
      <c r="Y6" s="24">
        <f t="shared" ref="Y6:Y15" si="9">CURRENT_401K/X6</f>
        <v>16.718656081470943</v>
      </c>
      <c r="Z6" s="25"/>
      <c r="AA6" s="23">
        <f t="shared" ref="AA6:AA15" si="10">AA$3-$L6</f>
        <v>95027.9</v>
      </c>
      <c r="AB6" s="24">
        <f t="shared" ref="AB6:AB15" si="11">CURRENT_401K/AA6</f>
        <v>16.19085352827959</v>
      </c>
      <c r="AC6" s="52"/>
      <c r="AD6" s="55">
        <f t="shared" ref="AD6:AD15" si="12">AD$3-$L6</f>
        <v>100027.9</v>
      </c>
      <c r="AE6" s="56">
        <f t="shared" ref="AE6:AE15" si="13">$K$51/AD6</f>
        <v>15.381536651274294</v>
      </c>
      <c r="AF6" s="52"/>
      <c r="AG6" s="55">
        <f t="shared" ref="AG6:AG15" si="14">AG$3-$L6</f>
        <v>105027.9</v>
      </c>
      <c r="AH6" s="56">
        <f t="shared" ref="AH6:AH15" si="15">$K$51/AG6</f>
        <v>14.649277096847598</v>
      </c>
      <c r="AI6" s="52"/>
      <c r="AJ6" s="55">
        <f t="shared" ref="AJ6:AJ15" si="16">AJ$3-$L6</f>
        <v>108027.9</v>
      </c>
      <c r="AK6" s="56">
        <f t="shared" ref="AK6:AK15" si="17">$K$51/AJ6</f>
        <v>14.242457828024056</v>
      </c>
      <c r="AL6" s="52"/>
      <c r="AM6" s="55">
        <f t="shared" ref="AM6:AM15" si="18">AM$3-$L6</f>
        <v>110027.9</v>
      </c>
      <c r="AN6" s="56">
        <f t="shared" ref="AN6:AN15" si="19">$K$51/AM6</f>
        <v>13.98356971277285</v>
      </c>
      <c r="AO6" s="52"/>
    </row>
    <row r="7" spans="1:41" hidden="1" x14ac:dyDescent="0.35">
      <c r="B7" s="27">
        <v>63</v>
      </c>
      <c r="C7" s="27">
        <v>62</v>
      </c>
      <c r="D7" s="22">
        <v>2841</v>
      </c>
      <c r="E7" s="22">
        <v>2654</v>
      </c>
      <c r="F7" s="22"/>
      <c r="G7" s="22">
        <f>D7*12</f>
        <v>34092</v>
      </c>
      <c r="H7" s="22">
        <f t="shared" si="0"/>
        <v>31848</v>
      </c>
      <c r="I7" s="22"/>
      <c r="J7" s="22">
        <f>G7+H7</f>
        <v>65940</v>
      </c>
      <c r="K7" s="22">
        <f>G6+H7</f>
        <v>63132</v>
      </c>
      <c r="L7" s="23">
        <f t="shared" si="1"/>
        <v>85820.1</v>
      </c>
      <c r="M7" s="23"/>
      <c r="N7" s="22"/>
      <c r="O7" s="23">
        <f t="shared" si="2"/>
        <v>38079.899999999994</v>
      </c>
      <c r="P7" s="24">
        <f t="shared" si="3"/>
        <v>40.404066449754332</v>
      </c>
      <c r="Q7" s="25"/>
      <c r="R7" s="23">
        <f t="shared" si="4"/>
        <v>48179.899999999994</v>
      </c>
      <c r="S7" s="24">
        <f t="shared" si="5"/>
        <v>31.934122113163372</v>
      </c>
      <c r="T7" s="26"/>
      <c r="U7" s="23">
        <f t="shared" si="6"/>
        <v>51179.899999999994</v>
      </c>
      <c r="V7" s="24">
        <f t="shared" si="7"/>
        <v>30.062247288486301</v>
      </c>
      <c r="W7" s="25"/>
      <c r="X7" s="23">
        <f t="shared" si="8"/>
        <v>60179.899999999994</v>
      </c>
      <c r="Y7" s="24">
        <f t="shared" si="9"/>
        <v>25.566390273164295</v>
      </c>
      <c r="Z7" s="25"/>
      <c r="AA7" s="23">
        <f t="shared" si="10"/>
        <v>63179.899999999994</v>
      </c>
      <c r="AB7" s="24">
        <f t="shared" si="11"/>
        <v>24.352409706251514</v>
      </c>
      <c r="AC7" s="52"/>
      <c r="AD7" s="57">
        <f t="shared" si="12"/>
        <v>68179.899999999994</v>
      </c>
      <c r="AE7" s="58">
        <f t="shared" si="13"/>
        <v>22.566516084652513</v>
      </c>
      <c r="AF7" s="52"/>
      <c r="AG7" s="57">
        <f t="shared" si="14"/>
        <v>73179.899999999994</v>
      </c>
      <c r="AH7" s="58">
        <f t="shared" si="15"/>
        <v>21.024664012932512</v>
      </c>
      <c r="AI7" s="52"/>
      <c r="AJ7" s="57">
        <f t="shared" si="16"/>
        <v>76179.899999999994</v>
      </c>
      <c r="AK7" s="58">
        <f t="shared" si="17"/>
        <v>20.196702936076314</v>
      </c>
      <c r="AL7" s="52"/>
      <c r="AM7" s="57">
        <f t="shared" si="18"/>
        <v>78179.899999999994</v>
      </c>
      <c r="AN7" s="58">
        <f t="shared" si="19"/>
        <v>19.680030417025346</v>
      </c>
      <c r="AO7" s="52"/>
    </row>
    <row r="8" spans="1:41" x14ac:dyDescent="0.35">
      <c r="A8" t="s">
        <v>253</v>
      </c>
      <c r="B8" s="22">
        <f>B7+1</f>
        <v>64</v>
      </c>
      <c r="C8" s="22">
        <f t="shared" ref="B8:C42" si="20">C7+1</f>
        <v>63</v>
      </c>
      <c r="D8" s="22">
        <v>2964</v>
      </c>
      <c r="E8" s="22">
        <v>2931</v>
      </c>
      <c r="F8" s="22"/>
      <c r="G8" s="22">
        <f t="shared" ref="G8:G15" si="21">D8*12</f>
        <v>35568</v>
      </c>
      <c r="H8" s="22">
        <f t="shared" si="0"/>
        <v>35172</v>
      </c>
      <c r="I8" s="22"/>
      <c r="J8" s="22">
        <f t="shared" ref="J8:J15" si="22">G8+H8</f>
        <v>70740</v>
      </c>
      <c r="K8" s="22">
        <f t="shared" ref="K8:K15" si="23">G7+H8</f>
        <v>69264</v>
      </c>
      <c r="L8" s="23">
        <f t="shared" si="1"/>
        <v>91952.1</v>
      </c>
      <c r="M8" s="23"/>
      <c r="N8" s="22"/>
      <c r="O8" s="23">
        <f t="shared" si="2"/>
        <v>31947.899999999994</v>
      </c>
      <c r="P8" s="24">
        <f t="shared" si="3"/>
        <v>48.159121882815462</v>
      </c>
      <c r="Q8" s="25"/>
      <c r="R8" s="23">
        <f t="shared" si="4"/>
        <v>42047.899999999994</v>
      </c>
      <c r="S8" s="24">
        <f t="shared" si="5"/>
        <v>36.591192663605078</v>
      </c>
      <c r="T8" s="26"/>
      <c r="U8" s="23">
        <f t="shared" si="6"/>
        <v>45047.899999999994</v>
      </c>
      <c r="V8" s="24">
        <f t="shared" si="7"/>
        <v>34.154373677796301</v>
      </c>
      <c r="W8" s="25"/>
      <c r="X8" s="23">
        <f t="shared" si="8"/>
        <v>54047.899999999994</v>
      </c>
      <c r="Y8" s="24">
        <f t="shared" si="9"/>
        <v>28.46702295556349</v>
      </c>
      <c r="Z8" s="25"/>
      <c r="AA8" s="23">
        <f t="shared" si="10"/>
        <v>57047.899999999994</v>
      </c>
      <c r="AB8" s="24">
        <f t="shared" si="11"/>
        <v>26.970016600085192</v>
      </c>
      <c r="AC8" s="52"/>
      <c r="AD8" s="57">
        <f t="shared" si="12"/>
        <v>62047.899999999994</v>
      </c>
      <c r="AE8" s="58">
        <f t="shared" si="13"/>
        <v>24.796694328091682</v>
      </c>
      <c r="AF8" s="52"/>
      <c r="AG8" s="57">
        <f t="shared" si="14"/>
        <v>67047.899999999994</v>
      </c>
      <c r="AH8" s="58">
        <f t="shared" si="15"/>
        <v>22.947516775320331</v>
      </c>
      <c r="AI8" s="52"/>
      <c r="AJ8" s="57">
        <f t="shared" si="16"/>
        <v>70047.899999999994</v>
      </c>
      <c r="AK8" s="58">
        <f t="shared" si="17"/>
        <v>21.964724281527353</v>
      </c>
      <c r="AL8" s="52"/>
      <c r="AM8" s="57">
        <f t="shared" si="18"/>
        <v>72047.899999999994</v>
      </c>
      <c r="AN8" s="58">
        <f t="shared" si="19"/>
        <v>21.354998688372596</v>
      </c>
      <c r="AO8" s="52"/>
    </row>
    <row r="9" spans="1:41" x14ac:dyDescent="0.35">
      <c r="A9" t="s">
        <v>255</v>
      </c>
      <c r="B9" s="28">
        <f t="shared" ref="A9:B42" si="24">B8+1</f>
        <v>65</v>
      </c>
      <c r="C9" s="129">
        <f t="shared" si="20"/>
        <v>64</v>
      </c>
      <c r="D9" s="28">
        <v>3283</v>
      </c>
      <c r="E9" s="130">
        <v>3109</v>
      </c>
      <c r="F9" s="22"/>
      <c r="G9" s="28">
        <f t="shared" si="21"/>
        <v>39396</v>
      </c>
      <c r="H9" s="130">
        <f t="shared" si="0"/>
        <v>37308</v>
      </c>
      <c r="I9" s="22"/>
      <c r="J9" s="130">
        <f t="shared" si="22"/>
        <v>76704</v>
      </c>
      <c r="K9" s="22">
        <f t="shared" si="23"/>
        <v>72876</v>
      </c>
      <c r="L9" s="132">
        <f>$J9+K$56</f>
        <v>99392.1</v>
      </c>
      <c r="M9" s="23"/>
      <c r="N9" s="22"/>
      <c r="O9" s="132">
        <f t="shared" si="2"/>
        <v>24507.899999999994</v>
      </c>
      <c r="P9" s="133">
        <f t="shared" si="3"/>
        <v>62.779055325017652</v>
      </c>
      <c r="Q9" s="134"/>
      <c r="R9" s="132">
        <f t="shared" si="4"/>
        <v>34607.899999999994</v>
      </c>
      <c r="S9" s="133">
        <f t="shared" si="5"/>
        <v>44.457560556982656</v>
      </c>
      <c r="T9" s="135"/>
      <c r="U9" s="132">
        <f t="shared" si="6"/>
        <v>37607.899999999994</v>
      </c>
      <c r="V9" s="133">
        <f t="shared" si="7"/>
        <v>40.911159889278586</v>
      </c>
      <c r="W9" s="134"/>
      <c r="X9" s="132">
        <f t="shared" si="8"/>
        <v>46607.899999999994</v>
      </c>
      <c r="Y9" s="133">
        <f t="shared" si="9"/>
        <v>33.011202178171509</v>
      </c>
      <c r="Z9" s="134"/>
      <c r="AA9" s="132">
        <f t="shared" si="10"/>
        <v>49607.899999999994</v>
      </c>
      <c r="AB9" s="133">
        <f t="shared" si="11"/>
        <v>31.014874848562428</v>
      </c>
      <c r="AC9" s="136"/>
      <c r="AD9" s="137">
        <f t="shared" si="12"/>
        <v>54607.899999999994</v>
      </c>
      <c r="AE9" s="138">
        <f t="shared" si="13"/>
        <v>28.1750957279075</v>
      </c>
      <c r="AF9" s="136"/>
      <c r="AG9" s="137">
        <f t="shared" si="14"/>
        <v>59607.899999999994</v>
      </c>
      <c r="AH9" s="138">
        <f t="shared" si="15"/>
        <v>25.811726465787252</v>
      </c>
      <c r="AI9" s="136"/>
      <c r="AJ9" s="137">
        <f t="shared" si="16"/>
        <v>62607.899999999994</v>
      </c>
      <c r="AK9" s="138">
        <f t="shared" si="17"/>
        <v>24.574898854617388</v>
      </c>
      <c r="AL9" s="136"/>
      <c r="AM9" s="137">
        <f t="shared" si="18"/>
        <v>64607.899999999994</v>
      </c>
      <c r="AN9" s="138">
        <f t="shared" si="19"/>
        <v>23.814159104381972</v>
      </c>
      <c r="AO9" s="136"/>
    </row>
    <row r="10" spans="1:41" x14ac:dyDescent="0.35">
      <c r="A10" t="s">
        <v>256</v>
      </c>
      <c r="B10" s="22">
        <f t="shared" si="24"/>
        <v>66</v>
      </c>
      <c r="C10" s="28">
        <f t="shared" si="20"/>
        <v>65</v>
      </c>
      <c r="D10" s="22">
        <v>3536</v>
      </c>
      <c r="E10" s="28">
        <v>3377</v>
      </c>
      <c r="F10" s="29"/>
      <c r="G10" s="22">
        <f t="shared" si="21"/>
        <v>42432</v>
      </c>
      <c r="H10" s="28">
        <f t="shared" si="0"/>
        <v>40524</v>
      </c>
      <c r="I10" s="28"/>
      <c r="J10" s="28">
        <f t="shared" si="22"/>
        <v>82956</v>
      </c>
      <c r="K10" s="28">
        <f t="shared" si="23"/>
        <v>79920</v>
      </c>
      <c r="L10" s="30">
        <f t="shared" si="1"/>
        <v>102608.1</v>
      </c>
      <c r="M10" s="30"/>
      <c r="N10" s="28"/>
      <c r="O10" s="30">
        <f t="shared" si="2"/>
        <v>21291.899999999994</v>
      </c>
      <c r="P10" s="31">
        <f t="shared" si="3"/>
        <v>72.261414434597199</v>
      </c>
      <c r="Q10" s="28"/>
      <c r="R10" s="30">
        <f t="shared" si="4"/>
        <v>31391.899999999994</v>
      </c>
      <c r="S10" s="31">
        <f t="shared" si="5"/>
        <v>49.012095795412193</v>
      </c>
      <c r="T10" s="31"/>
      <c r="U10" s="30">
        <f t="shared" si="6"/>
        <v>34391.899999999994</v>
      </c>
      <c r="V10" s="31">
        <f t="shared" si="7"/>
        <v>44.736778427478569</v>
      </c>
      <c r="W10" s="28"/>
      <c r="X10" s="30">
        <f t="shared" si="8"/>
        <v>43391.899999999994</v>
      </c>
      <c r="Y10" s="31">
        <f t="shared" si="9"/>
        <v>35.457834526720426</v>
      </c>
      <c r="Z10" s="28"/>
      <c r="AA10" s="30">
        <f t="shared" si="10"/>
        <v>46391.899999999994</v>
      </c>
      <c r="AB10" s="31">
        <f t="shared" si="11"/>
        <v>33.164901847089688</v>
      </c>
      <c r="AC10" s="52"/>
      <c r="AD10" s="59">
        <f t="shared" si="12"/>
        <v>51391.899999999994</v>
      </c>
      <c r="AE10" s="60">
        <f t="shared" si="13"/>
        <v>29.938235597438506</v>
      </c>
      <c r="AF10" s="52"/>
      <c r="AG10" s="59">
        <f t="shared" si="14"/>
        <v>56391.899999999994</v>
      </c>
      <c r="AH10" s="60">
        <f t="shared" si="15"/>
        <v>27.283755468427202</v>
      </c>
      <c r="AI10" s="52"/>
      <c r="AJ10" s="59">
        <f t="shared" si="16"/>
        <v>59391.899999999994</v>
      </c>
      <c r="AK10" s="60">
        <f t="shared" si="17"/>
        <v>25.905600090247997</v>
      </c>
      <c r="AL10" s="52"/>
      <c r="AM10" s="59">
        <f t="shared" si="18"/>
        <v>61391.899999999994</v>
      </c>
      <c r="AN10" s="60">
        <f t="shared" si="19"/>
        <v>25.061658134053516</v>
      </c>
      <c r="AO10" s="52"/>
    </row>
    <row r="11" spans="1:41" x14ac:dyDescent="0.35">
      <c r="A11" t="s">
        <v>258</v>
      </c>
      <c r="B11" s="217">
        <f t="shared" si="24"/>
        <v>67</v>
      </c>
      <c r="C11" s="22">
        <f t="shared" si="20"/>
        <v>66</v>
      </c>
      <c r="D11" s="217">
        <v>3788</v>
      </c>
      <c r="E11" s="22">
        <v>3644</v>
      </c>
      <c r="F11" s="22"/>
      <c r="G11" s="217">
        <f t="shared" si="21"/>
        <v>45456</v>
      </c>
      <c r="H11" s="22">
        <f t="shared" si="0"/>
        <v>43728</v>
      </c>
      <c r="I11" s="22"/>
      <c r="J11" s="22">
        <f t="shared" si="22"/>
        <v>89184</v>
      </c>
      <c r="K11" s="22">
        <f t="shared" si="23"/>
        <v>86160</v>
      </c>
      <c r="L11" s="23">
        <f t="shared" si="1"/>
        <v>108848.1</v>
      </c>
      <c r="M11" s="23"/>
      <c r="N11" s="22"/>
      <c r="O11" s="23">
        <f t="shared" si="2"/>
        <v>15051.899999999994</v>
      </c>
      <c r="P11" s="24">
        <f t="shared" si="3"/>
        <v>102.21851128428972</v>
      </c>
      <c r="Q11" s="25"/>
      <c r="R11" s="23">
        <f t="shared" si="4"/>
        <v>25151.899999999994</v>
      </c>
      <c r="S11" s="24">
        <f t="shared" si="5"/>
        <v>61.171633554522728</v>
      </c>
      <c r="T11" s="26"/>
      <c r="U11" s="23">
        <f t="shared" si="6"/>
        <v>28151.899999999994</v>
      </c>
      <c r="V11" s="24">
        <f t="shared" si="7"/>
        <v>54.652894120823113</v>
      </c>
      <c r="W11" s="25"/>
      <c r="X11" s="23">
        <f t="shared" si="8"/>
        <v>37151.899999999994</v>
      </c>
      <c r="Y11" s="24">
        <f t="shared" si="9"/>
        <v>41.413300800228257</v>
      </c>
      <c r="Z11" s="25"/>
      <c r="AA11" s="23">
        <f t="shared" si="10"/>
        <v>40151.899999999994</v>
      </c>
      <c r="AB11" s="24">
        <f t="shared" si="11"/>
        <v>38.319053643787718</v>
      </c>
      <c r="AC11" s="52"/>
      <c r="AD11" s="57">
        <f t="shared" si="12"/>
        <v>45151.899999999994</v>
      </c>
      <c r="AE11" s="58">
        <f t="shared" si="13"/>
        <v>34.075704676879603</v>
      </c>
      <c r="AF11" s="52"/>
      <c r="AG11" s="57">
        <f t="shared" si="14"/>
        <v>50151.899999999994</v>
      </c>
      <c r="AH11" s="58">
        <f t="shared" si="15"/>
        <v>30.678455053547324</v>
      </c>
      <c r="AI11" s="52"/>
      <c r="AJ11" s="57">
        <f t="shared" si="16"/>
        <v>53151.899999999994</v>
      </c>
      <c r="AK11" s="58">
        <f t="shared" si="17"/>
        <v>28.946901427794678</v>
      </c>
      <c r="AL11" s="52"/>
      <c r="AM11" s="57">
        <f t="shared" si="18"/>
        <v>55151.899999999994</v>
      </c>
      <c r="AN11" s="58">
        <f t="shared" si="19"/>
        <v>27.897185953702412</v>
      </c>
      <c r="AO11" s="52"/>
    </row>
    <row r="12" spans="1:41" x14ac:dyDescent="0.35">
      <c r="A12" t="s">
        <v>257</v>
      </c>
      <c r="B12" s="22">
        <f t="shared" si="24"/>
        <v>68</v>
      </c>
      <c r="C12" s="217">
        <f t="shared" si="20"/>
        <v>67</v>
      </c>
      <c r="D12" s="22">
        <v>3889</v>
      </c>
      <c r="E12" s="217">
        <v>3912</v>
      </c>
      <c r="F12" s="25"/>
      <c r="G12" s="22">
        <f t="shared" si="21"/>
        <v>46668</v>
      </c>
      <c r="H12" s="217">
        <f t="shared" si="0"/>
        <v>46944</v>
      </c>
      <c r="I12" s="25"/>
      <c r="J12" s="217">
        <f>G12+H12</f>
        <v>93612</v>
      </c>
      <c r="K12" s="217">
        <f t="shared" si="23"/>
        <v>92400</v>
      </c>
      <c r="L12" s="218">
        <f t="shared" si="1"/>
        <v>115088.1</v>
      </c>
      <c r="M12" s="32"/>
      <c r="N12" s="25"/>
      <c r="O12" s="32">
        <f t="shared" si="2"/>
        <v>8811.8999999999942</v>
      </c>
      <c r="P12" s="26">
        <f t="shared" si="3"/>
        <v>174.60284501639836</v>
      </c>
      <c r="Q12" s="25"/>
      <c r="R12" s="218">
        <f t="shared" si="4"/>
        <v>18911.899999999994</v>
      </c>
      <c r="S12" s="219">
        <f t="shared" si="5"/>
        <v>81.355274192439694</v>
      </c>
      <c r="T12" s="26"/>
      <c r="U12" s="218">
        <f t="shared" si="6"/>
        <v>21911.899999999994</v>
      </c>
      <c r="V12" s="219">
        <f t="shared" si="7"/>
        <v>70.216768513912541</v>
      </c>
      <c r="W12" s="25"/>
      <c r="X12" s="32">
        <f t="shared" si="8"/>
        <v>30911.899999999994</v>
      </c>
      <c r="Y12" s="26">
        <f t="shared" si="9"/>
        <v>49.77315564556045</v>
      </c>
      <c r="Z12" s="25"/>
      <c r="AA12" s="218">
        <f t="shared" si="10"/>
        <v>33911.899999999994</v>
      </c>
      <c r="AB12" s="219">
        <f t="shared" si="11"/>
        <v>45.369997257599842</v>
      </c>
      <c r="AC12" s="52"/>
      <c r="AD12" s="220">
        <f t="shared" si="12"/>
        <v>38911.899999999994</v>
      </c>
      <c r="AE12" s="221">
        <f t="shared" si="13"/>
        <v>39.540161493013706</v>
      </c>
      <c r="AF12" s="52"/>
      <c r="AG12" s="220">
        <f t="shared" si="14"/>
        <v>43911.899999999994</v>
      </c>
      <c r="AH12" s="221">
        <f t="shared" si="15"/>
        <v>35.037946661383359</v>
      </c>
      <c r="AI12" s="52"/>
      <c r="AJ12" s="220">
        <f t="shared" si="16"/>
        <v>46911.899999999994</v>
      </c>
      <c r="AK12" s="221">
        <f t="shared" si="17"/>
        <v>32.797281926334257</v>
      </c>
      <c r="AL12" s="52"/>
      <c r="AM12" s="220">
        <f t="shared" si="18"/>
        <v>48911.899999999994</v>
      </c>
      <c r="AN12" s="221">
        <f t="shared" si="19"/>
        <v>31.456206158419526</v>
      </c>
      <c r="AO12" s="52"/>
    </row>
    <row r="13" spans="1:41" x14ac:dyDescent="0.35">
      <c r="A13" t="s">
        <v>259</v>
      </c>
      <c r="B13" s="22">
        <f t="shared" si="24"/>
        <v>69</v>
      </c>
      <c r="C13" s="22">
        <f t="shared" si="20"/>
        <v>68</v>
      </c>
      <c r="D13" s="22">
        <v>4192</v>
      </c>
      <c r="E13" s="22">
        <v>3942</v>
      </c>
      <c r="F13" s="22"/>
      <c r="G13" s="22">
        <f t="shared" si="21"/>
        <v>50304</v>
      </c>
      <c r="H13" s="22">
        <f t="shared" si="0"/>
        <v>47304</v>
      </c>
      <c r="I13" s="22"/>
      <c r="J13" s="22">
        <f t="shared" si="22"/>
        <v>97608</v>
      </c>
      <c r="K13" s="22">
        <f t="shared" si="23"/>
        <v>93972</v>
      </c>
      <c r="L13" s="23">
        <f t="shared" si="1"/>
        <v>116660.1</v>
      </c>
      <c r="M13" s="23"/>
      <c r="N13" s="22"/>
      <c r="O13" s="23">
        <f t="shared" si="2"/>
        <v>7239.8999999999942</v>
      </c>
      <c r="P13" s="24">
        <f t="shared" si="3"/>
        <v>212.5143731267008</v>
      </c>
      <c r="Q13" s="25"/>
      <c r="R13" s="23">
        <f t="shared" si="4"/>
        <v>17339.899999999994</v>
      </c>
      <c r="S13" s="24">
        <f t="shared" si="5"/>
        <v>88.730777570804932</v>
      </c>
      <c r="T13" s="26"/>
      <c r="U13" s="23">
        <f t="shared" si="6"/>
        <v>20339.899999999994</v>
      </c>
      <c r="V13" s="24">
        <f t="shared" si="7"/>
        <v>75.643577893696644</v>
      </c>
      <c r="W13" s="25"/>
      <c r="X13" s="23">
        <f t="shared" si="8"/>
        <v>29339.899999999994</v>
      </c>
      <c r="Y13" s="24">
        <f t="shared" si="9"/>
        <v>52.439947307250542</v>
      </c>
      <c r="Z13" s="25"/>
      <c r="AA13" s="23">
        <f t="shared" si="10"/>
        <v>32339.899999999994</v>
      </c>
      <c r="AB13" s="24">
        <f t="shared" si="11"/>
        <v>47.575373145866259</v>
      </c>
      <c r="AC13" s="52"/>
      <c r="AD13" s="57">
        <f t="shared" si="12"/>
        <v>37339.899999999994</v>
      </c>
      <c r="AE13" s="58">
        <f t="shared" si="13"/>
        <v>41.204791924991767</v>
      </c>
      <c r="AF13" s="52"/>
      <c r="AG13" s="57">
        <f t="shared" si="14"/>
        <v>42339.899999999994</v>
      </c>
      <c r="AH13" s="58">
        <f t="shared" si="15"/>
        <v>36.338839014735512</v>
      </c>
      <c r="AI13" s="52"/>
      <c r="AJ13" s="57">
        <f t="shared" si="16"/>
        <v>45339.899999999994</v>
      </c>
      <c r="AK13" s="58">
        <f t="shared" si="17"/>
        <v>33.934411191908232</v>
      </c>
      <c r="AL13" s="52"/>
      <c r="AM13" s="57">
        <f t="shared" si="18"/>
        <v>47339.899999999994</v>
      </c>
      <c r="AN13" s="58">
        <f t="shared" si="19"/>
        <v>32.500761725309943</v>
      </c>
      <c r="AO13" s="52"/>
    </row>
    <row r="14" spans="1:41" x14ac:dyDescent="0.35">
      <c r="A14" t="s">
        <v>260</v>
      </c>
      <c r="B14" s="33">
        <f t="shared" si="24"/>
        <v>70</v>
      </c>
      <c r="C14" s="22">
        <f t="shared" si="20"/>
        <v>69</v>
      </c>
      <c r="D14" s="33">
        <v>4698</v>
      </c>
      <c r="E14" s="22">
        <v>4258</v>
      </c>
      <c r="F14" s="22"/>
      <c r="G14" s="22">
        <f t="shared" si="21"/>
        <v>56376</v>
      </c>
      <c r="H14" s="22">
        <f t="shared" si="0"/>
        <v>51096</v>
      </c>
      <c r="I14" s="22"/>
      <c r="J14" s="22">
        <f t="shared" si="22"/>
        <v>107472</v>
      </c>
      <c r="K14" s="22">
        <f t="shared" si="23"/>
        <v>101400</v>
      </c>
      <c r="L14" s="23">
        <f t="shared" si="1"/>
        <v>124088.1</v>
      </c>
      <c r="M14" s="23"/>
      <c r="N14" s="22"/>
      <c r="O14" s="23">
        <f t="shared" si="2"/>
        <v>-188.10000000000582</v>
      </c>
      <c r="P14" s="24">
        <f t="shared" si="3"/>
        <v>-8179.6002658158013</v>
      </c>
      <c r="Q14" s="25"/>
      <c r="R14" s="23">
        <f t="shared" si="4"/>
        <v>9911.8999999999942</v>
      </c>
      <c r="S14" s="24">
        <f t="shared" si="5"/>
        <v>155.2258204784149</v>
      </c>
      <c r="T14" s="26"/>
      <c r="U14" s="23">
        <f t="shared" si="6"/>
        <v>12911.899999999994</v>
      </c>
      <c r="V14" s="24">
        <f t="shared" si="7"/>
        <v>119.16006242303615</v>
      </c>
      <c r="W14" s="25"/>
      <c r="X14" s="23">
        <f t="shared" si="8"/>
        <v>21911.899999999994</v>
      </c>
      <c r="Y14" s="24">
        <f t="shared" si="9"/>
        <v>70.216768513912541</v>
      </c>
      <c r="Z14" s="25"/>
      <c r="AA14" s="23">
        <f t="shared" si="10"/>
        <v>24911.899999999994</v>
      </c>
      <c r="AB14" s="24">
        <f t="shared" si="11"/>
        <v>61.760958016048562</v>
      </c>
      <c r="AC14" s="53"/>
      <c r="AD14" s="57">
        <f t="shared" si="12"/>
        <v>29911.899999999994</v>
      </c>
      <c r="AE14" s="58">
        <f t="shared" si="13"/>
        <v>51.437147422932014</v>
      </c>
      <c r="AF14" s="53"/>
      <c r="AG14" s="57">
        <f t="shared" si="14"/>
        <v>34911.899999999994</v>
      </c>
      <c r="AH14" s="58">
        <f t="shared" si="15"/>
        <v>44.070440451536584</v>
      </c>
      <c r="AI14" s="53"/>
      <c r="AJ14" s="57">
        <f t="shared" si="16"/>
        <v>37911.899999999994</v>
      </c>
      <c r="AK14" s="58">
        <f t="shared" si="17"/>
        <v>40.583110052516496</v>
      </c>
      <c r="AL14" s="53"/>
      <c r="AM14" s="57">
        <f t="shared" si="18"/>
        <v>39911.899999999994</v>
      </c>
      <c r="AN14" s="58">
        <f t="shared" si="19"/>
        <v>38.549475469722061</v>
      </c>
      <c r="AO14" s="53"/>
    </row>
    <row r="15" spans="1:41" x14ac:dyDescent="0.35">
      <c r="A15" t="s">
        <v>261</v>
      </c>
      <c r="B15" s="22">
        <f t="shared" si="24"/>
        <v>71</v>
      </c>
      <c r="C15" s="33">
        <f t="shared" si="20"/>
        <v>70</v>
      </c>
      <c r="D15" s="22">
        <v>4698</v>
      </c>
      <c r="E15" s="33">
        <v>4863</v>
      </c>
      <c r="F15" s="33"/>
      <c r="G15" s="33">
        <f t="shared" si="21"/>
        <v>56376</v>
      </c>
      <c r="H15" s="33">
        <f t="shared" si="0"/>
        <v>58356</v>
      </c>
      <c r="I15" s="33"/>
      <c r="J15" s="22">
        <f t="shared" si="22"/>
        <v>114732</v>
      </c>
      <c r="K15" s="33">
        <f t="shared" si="23"/>
        <v>114732</v>
      </c>
      <c r="L15" s="34">
        <f t="shared" si="1"/>
        <v>137420.1</v>
      </c>
      <c r="M15" s="34"/>
      <c r="N15" s="33"/>
      <c r="O15" s="34">
        <f t="shared" si="2"/>
        <v>-13520.100000000006</v>
      </c>
      <c r="P15" s="43">
        <f t="shared" si="3"/>
        <v>-113.79966198474857</v>
      </c>
      <c r="Q15" s="25"/>
      <c r="R15" s="34">
        <f t="shared" si="4"/>
        <v>-3420.1000000000058</v>
      </c>
      <c r="S15" s="43">
        <f t="shared" si="5"/>
        <v>-449.86486067658757</v>
      </c>
      <c r="T15" s="26"/>
      <c r="U15" s="34">
        <f t="shared" si="6"/>
        <v>-420.10000000000582</v>
      </c>
      <c r="V15" s="43">
        <f t="shared" si="7"/>
        <v>-3662.4203999047336</v>
      </c>
      <c r="W15" s="25"/>
      <c r="X15" s="34">
        <f t="shared" si="8"/>
        <v>8579.8999999999942</v>
      </c>
      <c r="Y15" s="43">
        <f t="shared" si="9"/>
        <v>179.32409585193309</v>
      </c>
      <c r="Z15" s="25"/>
      <c r="AA15" s="34">
        <f t="shared" si="10"/>
        <v>11579.899999999994</v>
      </c>
      <c r="AB15" s="43">
        <f t="shared" si="11"/>
        <v>132.86667501446476</v>
      </c>
      <c r="AC15" s="54"/>
      <c r="AD15" s="61">
        <f t="shared" si="12"/>
        <v>16579.899999999994</v>
      </c>
      <c r="AE15" s="62">
        <f t="shared" si="13"/>
        <v>92.798075380430546</v>
      </c>
      <c r="AF15" s="54"/>
      <c r="AG15" s="61">
        <f t="shared" si="14"/>
        <v>21579.899999999994</v>
      </c>
      <c r="AH15" s="62">
        <f t="shared" si="15"/>
        <v>71.297031496902221</v>
      </c>
      <c r="AI15" s="54"/>
      <c r="AJ15" s="61">
        <f t="shared" si="16"/>
        <v>24579.899999999994</v>
      </c>
      <c r="AK15" s="62">
        <f t="shared" si="17"/>
        <v>62.595161493740825</v>
      </c>
      <c r="AL15" s="54"/>
      <c r="AM15" s="61">
        <f t="shared" si="18"/>
        <v>26579.899999999994</v>
      </c>
      <c r="AN15" s="62">
        <f t="shared" si="19"/>
        <v>57.88519934236021</v>
      </c>
      <c r="AO15" s="54"/>
    </row>
    <row r="16" spans="1:41" x14ac:dyDescent="0.35">
      <c r="P16"/>
      <c r="S16"/>
      <c r="V16"/>
      <c r="Y16"/>
      <c r="AC16" s="50"/>
      <c r="AF16" s="50"/>
      <c r="AI16" s="50"/>
      <c r="AL16" s="50"/>
      <c r="AO16" s="50"/>
    </row>
    <row r="17" spans="1:31" hidden="1" x14ac:dyDescent="0.35">
      <c r="A17">
        <f>B16+1</f>
        <v>1</v>
      </c>
      <c r="B17">
        <f>C16+1</f>
        <v>1</v>
      </c>
      <c r="C17">
        <v>4458</v>
      </c>
      <c r="D17">
        <v>4605</v>
      </c>
      <c r="P17"/>
      <c r="S17"/>
      <c r="V17"/>
      <c r="Y17"/>
      <c r="AB17" s="50"/>
      <c r="AE17" s="50"/>
    </row>
    <row r="18" spans="1:31" hidden="1" x14ac:dyDescent="0.35">
      <c r="A18">
        <f t="shared" si="24"/>
        <v>2</v>
      </c>
      <c r="B18">
        <f t="shared" si="20"/>
        <v>2</v>
      </c>
      <c r="C18">
        <v>4458</v>
      </c>
      <c r="D18">
        <v>4605</v>
      </c>
      <c r="P18"/>
      <c r="S18"/>
      <c r="V18"/>
      <c r="Y18"/>
      <c r="AB18" s="50"/>
      <c r="AE18" s="50"/>
    </row>
    <row r="19" spans="1:31" hidden="1" x14ac:dyDescent="0.35">
      <c r="A19">
        <f t="shared" si="24"/>
        <v>3</v>
      </c>
      <c r="B19">
        <f t="shared" si="20"/>
        <v>3</v>
      </c>
      <c r="C19">
        <v>4458</v>
      </c>
      <c r="D19">
        <v>4605</v>
      </c>
      <c r="P19"/>
      <c r="S19"/>
      <c r="V19"/>
      <c r="Y19"/>
      <c r="AB19" s="50"/>
      <c r="AE19" s="50"/>
    </row>
    <row r="20" spans="1:31" hidden="1" x14ac:dyDescent="0.35">
      <c r="A20">
        <f t="shared" si="24"/>
        <v>4</v>
      </c>
      <c r="B20">
        <f t="shared" si="20"/>
        <v>4</v>
      </c>
      <c r="C20">
        <v>4458</v>
      </c>
      <c r="D20">
        <v>4605</v>
      </c>
      <c r="P20"/>
      <c r="S20"/>
      <c r="V20"/>
      <c r="Y20"/>
      <c r="AB20" s="50"/>
      <c r="AE20" s="50"/>
    </row>
    <row r="21" spans="1:31" hidden="1" x14ac:dyDescent="0.35">
      <c r="A21">
        <f t="shared" si="24"/>
        <v>5</v>
      </c>
      <c r="B21">
        <f t="shared" si="20"/>
        <v>5</v>
      </c>
      <c r="C21">
        <v>4458</v>
      </c>
      <c r="D21">
        <v>4605</v>
      </c>
      <c r="P21"/>
      <c r="S21"/>
      <c r="V21"/>
      <c r="Y21"/>
      <c r="AB21" s="50"/>
      <c r="AE21" s="50"/>
    </row>
    <row r="22" spans="1:31" hidden="1" x14ac:dyDescent="0.35">
      <c r="A22">
        <f t="shared" si="24"/>
        <v>6</v>
      </c>
      <c r="B22">
        <f t="shared" si="20"/>
        <v>6</v>
      </c>
      <c r="C22">
        <v>4458</v>
      </c>
      <c r="D22">
        <v>4605</v>
      </c>
      <c r="P22"/>
      <c r="S22"/>
      <c r="V22"/>
      <c r="Y22"/>
      <c r="AB22" s="50"/>
      <c r="AE22" s="50"/>
    </row>
    <row r="23" spans="1:31" hidden="1" x14ac:dyDescent="0.35">
      <c r="A23">
        <f t="shared" si="24"/>
        <v>7</v>
      </c>
      <c r="B23">
        <f t="shared" si="20"/>
        <v>7</v>
      </c>
      <c r="C23">
        <v>4458</v>
      </c>
      <c r="D23">
        <v>4605</v>
      </c>
      <c r="N23" t="s">
        <v>12</v>
      </c>
      <c r="P23"/>
      <c r="S23"/>
      <c r="V23"/>
      <c r="Y23"/>
      <c r="AB23" s="50"/>
      <c r="AE23" s="50"/>
    </row>
    <row r="24" spans="1:31" hidden="1" x14ac:dyDescent="0.35">
      <c r="A24">
        <f t="shared" si="24"/>
        <v>8</v>
      </c>
      <c r="B24">
        <f t="shared" si="20"/>
        <v>8</v>
      </c>
      <c r="C24">
        <v>4458</v>
      </c>
      <c r="D24">
        <v>4720</v>
      </c>
      <c r="P24"/>
      <c r="R24" s="5"/>
      <c r="S24"/>
      <c r="V24"/>
      <c r="Y24"/>
      <c r="AB24" s="50"/>
      <c r="AE24" s="50"/>
    </row>
    <row r="25" spans="1:31" hidden="1" x14ac:dyDescent="0.35">
      <c r="A25">
        <f t="shared" si="24"/>
        <v>9</v>
      </c>
      <c r="B25">
        <f t="shared" si="20"/>
        <v>9</v>
      </c>
      <c r="C25">
        <v>4458</v>
      </c>
      <c r="D25">
        <v>4720</v>
      </c>
      <c r="P25"/>
      <c r="S25"/>
      <c r="V25"/>
      <c r="Y25"/>
      <c r="AB25" s="50"/>
      <c r="AE25" s="50"/>
    </row>
    <row r="26" spans="1:31" hidden="1" x14ac:dyDescent="0.35">
      <c r="A26">
        <f t="shared" si="24"/>
        <v>10</v>
      </c>
      <c r="B26">
        <f t="shared" si="20"/>
        <v>10</v>
      </c>
      <c r="C26">
        <v>4458</v>
      </c>
      <c r="D26">
        <v>4720</v>
      </c>
      <c r="P26"/>
      <c r="S26"/>
      <c r="V26"/>
      <c r="Y26"/>
      <c r="AB26" s="50"/>
      <c r="AE26" s="50"/>
    </row>
    <row r="27" spans="1:31" hidden="1" x14ac:dyDescent="0.35">
      <c r="A27">
        <f t="shared" si="24"/>
        <v>11</v>
      </c>
      <c r="B27">
        <f t="shared" si="20"/>
        <v>11</v>
      </c>
      <c r="C27">
        <v>4458</v>
      </c>
      <c r="D27">
        <v>4720</v>
      </c>
      <c r="P27"/>
      <c r="S27"/>
      <c r="V27"/>
      <c r="Y27"/>
      <c r="AB27" s="50"/>
      <c r="AE27" s="50"/>
    </row>
    <row r="28" spans="1:31" hidden="1" x14ac:dyDescent="0.35">
      <c r="A28">
        <f t="shared" si="24"/>
        <v>12</v>
      </c>
      <c r="B28">
        <f t="shared" si="20"/>
        <v>12</v>
      </c>
      <c r="C28">
        <v>4458</v>
      </c>
      <c r="D28">
        <v>4605</v>
      </c>
      <c r="P28" s="16"/>
      <c r="S28" s="16"/>
      <c r="V28" s="16"/>
      <c r="Y28" s="16"/>
      <c r="AB28" s="16"/>
      <c r="AE28" s="16"/>
    </row>
    <row r="29" spans="1:31" hidden="1" x14ac:dyDescent="0.35">
      <c r="A29">
        <f t="shared" si="24"/>
        <v>13</v>
      </c>
      <c r="B29">
        <f t="shared" si="20"/>
        <v>13</v>
      </c>
      <c r="C29">
        <v>4458</v>
      </c>
      <c r="D29">
        <v>4605</v>
      </c>
      <c r="AB29" s="2"/>
      <c r="AE29" s="2"/>
    </row>
    <row r="30" spans="1:31" hidden="1" x14ac:dyDescent="0.35">
      <c r="A30">
        <f t="shared" si="24"/>
        <v>14</v>
      </c>
      <c r="B30">
        <f t="shared" si="20"/>
        <v>14</v>
      </c>
      <c r="C30">
        <v>4458</v>
      </c>
      <c r="D30">
        <v>4605</v>
      </c>
      <c r="AB30" s="2"/>
      <c r="AE30" s="2"/>
    </row>
    <row r="31" spans="1:31" hidden="1" x14ac:dyDescent="0.35">
      <c r="A31">
        <f t="shared" si="24"/>
        <v>15</v>
      </c>
      <c r="B31">
        <f t="shared" si="20"/>
        <v>15</v>
      </c>
      <c r="C31">
        <v>4458</v>
      </c>
      <c r="D31">
        <v>4605</v>
      </c>
      <c r="AB31" s="2"/>
      <c r="AE31" s="2"/>
    </row>
    <row r="32" spans="1:31" hidden="1" x14ac:dyDescent="0.35">
      <c r="A32">
        <f t="shared" si="24"/>
        <v>16</v>
      </c>
      <c r="B32">
        <f t="shared" si="20"/>
        <v>16</v>
      </c>
      <c r="C32">
        <v>4458</v>
      </c>
      <c r="D32">
        <v>4605</v>
      </c>
      <c r="AB32" s="2"/>
      <c r="AE32" s="2"/>
    </row>
    <row r="33" spans="1:41" hidden="1" x14ac:dyDescent="0.35">
      <c r="A33">
        <f t="shared" si="24"/>
        <v>17</v>
      </c>
      <c r="B33">
        <f t="shared" si="20"/>
        <v>17</v>
      </c>
      <c r="C33">
        <v>4458</v>
      </c>
      <c r="D33">
        <v>4605</v>
      </c>
      <c r="AB33" s="2"/>
      <c r="AE33" s="2"/>
    </row>
    <row r="34" spans="1:41" hidden="1" x14ac:dyDescent="0.35">
      <c r="A34">
        <f t="shared" si="24"/>
        <v>18</v>
      </c>
      <c r="B34">
        <f t="shared" si="20"/>
        <v>18</v>
      </c>
      <c r="C34">
        <v>4458</v>
      </c>
      <c r="D34">
        <v>4605</v>
      </c>
      <c r="AB34" s="2"/>
      <c r="AE34" s="2"/>
    </row>
    <row r="35" spans="1:41" hidden="1" x14ac:dyDescent="0.35">
      <c r="A35">
        <f t="shared" si="24"/>
        <v>19</v>
      </c>
      <c r="B35">
        <f t="shared" si="20"/>
        <v>19</v>
      </c>
      <c r="C35">
        <v>4458</v>
      </c>
      <c r="D35">
        <v>4605</v>
      </c>
      <c r="AB35" s="2"/>
      <c r="AE35" s="2"/>
    </row>
    <row r="36" spans="1:41" hidden="1" x14ac:dyDescent="0.35">
      <c r="A36">
        <f t="shared" si="24"/>
        <v>20</v>
      </c>
      <c r="B36">
        <f t="shared" si="20"/>
        <v>20</v>
      </c>
      <c r="C36">
        <v>4458</v>
      </c>
      <c r="D36">
        <v>4605</v>
      </c>
      <c r="AB36" s="2"/>
      <c r="AE36" s="2"/>
    </row>
    <row r="37" spans="1:41" hidden="1" x14ac:dyDescent="0.35">
      <c r="A37">
        <f t="shared" si="24"/>
        <v>21</v>
      </c>
      <c r="B37">
        <f t="shared" si="20"/>
        <v>21</v>
      </c>
      <c r="C37">
        <v>4458</v>
      </c>
      <c r="D37">
        <v>4605</v>
      </c>
      <c r="AB37" s="2"/>
      <c r="AE37" s="2"/>
    </row>
    <row r="38" spans="1:41" hidden="1" x14ac:dyDescent="0.35">
      <c r="A38">
        <f t="shared" si="24"/>
        <v>22</v>
      </c>
      <c r="B38">
        <f t="shared" si="20"/>
        <v>22</v>
      </c>
      <c r="C38">
        <v>4458</v>
      </c>
      <c r="D38">
        <v>4605</v>
      </c>
      <c r="AB38" s="2"/>
      <c r="AE38" s="2"/>
    </row>
    <row r="39" spans="1:41" hidden="1" x14ac:dyDescent="0.35">
      <c r="A39">
        <f t="shared" si="24"/>
        <v>23</v>
      </c>
      <c r="B39">
        <f t="shared" si="20"/>
        <v>23</v>
      </c>
      <c r="C39">
        <v>4458</v>
      </c>
      <c r="D39">
        <v>4605</v>
      </c>
      <c r="AB39" s="2"/>
      <c r="AE39" s="2"/>
    </row>
    <row r="40" spans="1:41" hidden="1" x14ac:dyDescent="0.35">
      <c r="A40">
        <f t="shared" si="24"/>
        <v>24</v>
      </c>
      <c r="B40">
        <f t="shared" si="20"/>
        <v>24</v>
      </c>
      <c r="C40">
        <v>4458</v>
      </c>
      <c r="D40">
        <v>4605</v>
      </c>
      <c r="AB40" s="2"/>
      <c r="AE40" s="2"/>
    </row>
    <row r="41" spans="1:41" hidden="1" x14ac:dyDescent="0.35">
      <c r="A41">
        <f t="shared" si="24"/>
        <v>25</v>
      </c>
      <c r="B41">
        <f t="shared" si="20"/>
        <v>25</v>
      </c>
      <c r="C41">
        <v>4458</v>
      </c>
      <c r="D41">
        <v>4605</v>
      </c>
      <c r="AB41" s="2"/>
      <c r="AE41" s="2"/>
    </row>
    <row r="42" spans="1:41" hidden="1" x14ac:dyDescent="0.35">
      <c r="A42">
        <f t="shared" si="24"/>
        <v>26</v>
      </c>
      <c r="B42">
        <f t="shared" si="20"/>
        <v>26</v>
      </c>
      <c r="C42">
        <v>4458</v>
      </c>
      <c r="D42">
        <v>4605</v>
      </c>
      <c r="AB42" s="2"/>
      <c r="AE42" s="2"/>
    </row>
    <row r="43" spans="1:41" x14ac:dyDescent="0.35">
      <c r="I43" s="44" t="s">
        <v>38</v>
      </c>
      <c r="N43" s="7">
        <f>O10/0.04</f>
        <v>532297.49999999988</v>
      </c>
      <c r="O43" s="7"/>
      <c r="P43" s="7"/>
      <c r="R43" s="7">
        <f>R10/0.04</f>
        <v>784797.49999999988</v>
      </c>
      <c r="S43" s="7"/>
      <c r="T43" s="7"/>
      <c r="U43" s="7">
        <f>U10/0.04</f>
        <v>859797.49999999988</v>
      </c>
      <c r="V43" s="7"/>
      <c r="W43" s="7"/>
      <c r="X43" s="7">
        <f>X10/0.04</f>
        <v>1084797.4999999998</v>
      </c>
      <c r="Y43" s="7"/>
      <c r="Z43" s="7"/>
      <c r="AA43" s="7">
        <f>AA10/0.04</f>
        <v>1159797.4999999998</v>
      </c>
      <c r="AB43" s="7"/>
      <c r="AC43" s="7"/>
      <c r="AD43" s="7">
        <f>AD10/0.04</f>
        <v>1284797.4999999998</v>
      </c>
      <c r="AE43" s="7"/>
      <c r="AF43" s="7"/>
      <c r="AG43" s="7">
        <f>AG10/0.04</f>
        <v>1409797.4999999998</v>
      </c>
      <c r="AH43" s="7"/>
      <c r="AI43" s="7"/>
      <c r="AJ43" s="7">
        <f>AJ10/0.04</f>
        <v>1484797.4999999998</v>
      </c>
      <c r="AK43" s="7"/>
      <c r="AL43" s="7"/>
      <c r="AM43" s="7">
        <f>AM10/0.04</f>
        <v>1534797.4999999998</v>
      </c>
      <c r="AN43" s="7"/>
      <c r="AO43" s="7"/>
    </row>
    <row r="44" spans="1:41" x14ac:dyDescent="0.35">
      <c r="P44"/>
      <c r="S44"/>
      <c r="V44"/>
      <c r="Y44"/>
    </row>
    <row r="45" spans="1:41" ht="14.5" customHeight="1" x14ac:dyDescent="0.35">
      <c r="E45" s="4"/>
      <c r="F45" s="4"/>
      <c r="G45" s="4"/>
      <c r="H45" s="4"/>
      <c r="I45" s="268" t="s">
        <v>19</v>
      </c>
      <c r="J45" s="268"/>
      <c r="K45" s="7">
        <v>14000</v>
      </c>
      <c r="N45" s="4"/>
      <c r="O45" s="4"/>
      <c r="P45" s="4"/>
      <c r="Q45" s="4"/>
      <c r="R45" s="4"/>
      <c r="S45" s="4"/>
      <c r="V45"/>
      <c r="W45" s="18"/>
      <c r="Y45"/>
    </row>
    <row r="46" spans="1:41" x14ac:dyDescent="0.35">
      <c r="I46" s="269" t="s">
        <v>20</v>
      </c>
      <c r="J46" s="269"/>
      <c r="K46" s="7">
        <v>15000</v>
      </c>
      <c r="P46"/>
      <c r="S46"/>
      <c r="V46"/>
      <c r="Y46"/>
    </row>
    <row r="47" spans="1:41" x14ac:dyDescent="0.35">
      <c r="I47" s="269" t="s">
        <v>37</v>
      </c>
      <c r="J47" s="269"/>
      <c r="K47" s="7">
        <v>5054</v>
      </c>
      <c r="P47"/>
      <c r="S47"/>
      <c r="V47"/>
      <c r="Y47"/>
    </row>
    <row r="48" spans="1:41" x14ac:dyDescent="0.35">
      <c r="K48" s="7"/>
      <c r="P48"/>
      <c r="S48"/>
      <c r="V48"/>
      <c r="Y48"/>
    </row>
    <row r="49" spans="1:25" x14ac:dyDescent="0.35">
      <c r="K49" s="7"/>
      <c r="P49"/>
      <c r="S49"/>
      <c r="V49"/>
      <c r="Y49"/>
    </row>
    <row r="50" spans="1:25" x14ac:dyDescent="0.35">
      <c r="A50" t="s">
        <v>36</v>
      </c>
      <c r="P50"/>
      <c r="S50"/>
      <c r="V50"/>
      <c r="Y50"/>
    </row>
    <row r="51" spans="1:25" x14ac:dyDescent="0.35">
      <c r="A51" t="s">
        <v>2</v>
      </c>
      <c r="B51" s="9">
        <v>46027</v>
      </c>
      <c r="I51" t="s">
        <v>23</v>
      </c>
      <c r="K51" s="7">
        <f>[0]!CURRENT_401K</f>
        <v>1538582.8099999998</v>
      </c>
      <c r="P51"/>
      <c r="S51"/>
      <c r="V51"/>
      <c r="Y51"/>
    </row>
    <row r="52" spans="1:25" x14ac:dyDescent="0.35">
      <c r="A52" t="s">
        <v>18</v>
      </c>
      <c r="B52" s="9">
        <v>46027</v>
      </c>
      <c r="E52" s="1"/>
      <c r="I52" t="s">
        <v>13</v>
      </c>
      <c r="K52" s="21">
        <f>K51*0.04</f>
        <v>61543.312399999995</v>
      </c>
      <c r="M52" s="7"/>
      <c r="P52"/>
      <c r="S52"/>
      <c r="V52"/>
      <c r="Y52"/>
    </row>
    <row r="53" spans="1:25" x14ac:dyDescent="0.35">
      <c r="E53" s="1"/>
      <c r="I53" s="119" t="s">
        <v>25</v>
      </c>
      <c r="K53" s="7">
        <f>K51*0.03</f>
        <v>46157.484299999996</v>
      </c>
      <c r="L53" s="7"/>
      <c r="M53" s="7"/>
      <c r="N53" s="7"/>
      <c r="P53"/>
      <c r="S53"/>
      <c r="V53"/>
      <c r="Y53"/>
    </row>
    <row r="54" spans="1:25" x14ac:dyDescent="0.35">
      <c r="E54" s="1"/>
      <c r="I54" s="119" t="s">
        <v>26</v>
      </c>
      <c r="K54" s="7">
        <f>K51*0.05</f>
        <v>76929.140499999994</v>
      </c>
      <c r="L54" s="7"/>
      <c r="P54"/>
      <c r="S54"/>
      <c r="V54"/>
      <c r="Y54"/>
    </row>
    <row r="55" spans="1:25" x14ac:dyDescent="0.35">
      <c r="K55" s="7"/>
      <c r="L55" s="73" t="s">
        <v>123</v>
      </c>
      <c r="M55" t="s">
        <v>114</v>
      </c>
      <c r="O55" s="117">
        <f>0.045*355050</f>
        <v>15977.25</v>
      </c>
      <c r="P55" s="117"/>
      <c r="Q55" s="117"/>
      <c r="S55"/>
      <c r="V55"/>
      <c r="Y55"/>
    </row>
    <row r="56" spans="1:25" x14ac:dyDescent="0.35">
      <c r="I56" t="s">
        <v>9</v>
      </c>
      <c r="K56" s="7">
        <v>22688.1</v>
      </c>
      <c r="L56" s="73" t="s">
        <v>124</v>
      </c>
      <c r="M56" t="s">
        <v>115</v>
      </c>
      <c r="O56" s="117">
        <f>0.045*nationwide</f>
        <v>18736.1973</v>
      </c>
      <c r="P56" s="117"/>
      <c r="Q56" s="117"/>
      <c r="R56" s="7"/>
      <c r="S56"/>
      <c r="V56"/>
      <c r="Y56"/>
    </row>
    <row r="57" spans="1:25" x14ac:dyDescent="0.35">
      <c r="L57" s="1" t="s">
        <v>125</v>
      </c>
      <c r="M57" t="s">
        <v>323</v>
      </c>
      <c r="O57" s="117">
        <f>0.054*curr_annuity_base</f>
        <v>19172.687580000002</v>
      </c>
      <c r="P57" s="117"/>
      <c r="Q57" s="117"/>
      <c r="S57"/>
      <c r="V57"/>
      <c r="Y57"/>
    </row>
    <row r="58" spans="1:25" x14ac:dyDescent="0.35">
      <c r="I58" s="267" t="s">
        <v>31</v>
      </c>
      <c r="J58" s="267"/>
      <c r="K58" s="35">
        <f>K52/12</f>
        <v>5128.6093666666666</v>
      </c>
      <c r="L58" s="1" t="s">
        <v>266</v>
      </c>
      <c r="M58" t="s">
        <v>322</v>
      </c>
      <c r="O58" s="117">
        <f>0.054*420150</f>
        <v>22688.1</v>
      </c>
      <c r="S58"/>
      <c r="V58"/>
      <c r="Y58"/>
    </row>
    <row r="59" spans="1:25" x14ac:dyDescent="0.35">
      <c r="I59" s="267" t="s">
        <v>32</v>
      </c>
      <c r="J59" s="267"/>
      <c r="K59" s="35">
        <f>K10/12</f>
        <v>6660</v>
      </c>
      <c r="P59"/>
      <c r="S59"/>
      <c r="V59"/>
      <c r="Y59"/>
    </row>
    <row r="60" spans="1:25" x14ac:dyDescent="0.35">
      <c r="I60" s="267" t="s">
        <v>33</v>
      </c>
      <c r="J60" s="267"/>
      <c r="K60" s="35">
        <f>K56/12</f>
        <v>1890.675</v>
      </c>
      <c r="P60"/>
      <c r="S60"/>
      <c r="V60"/>
      <c r="Y60"/>
    </row>
    <row r="61" spans="1:25" x14ac:dyDescent="0.35">
      <c r="I61" s="41" t="s">
        <v>35</v>
      </c>
      <c r="K61" s="35">
        <f>SUM(K58:K60)</f>
        <v>13679.284366666667</v>
      </c>
      <c r="P61"/>
      <c r="S61"/>
      <c r="V61"/>
      <c r="Y61"/>
    </row>
    <row r="62" spans="1:25" x14ac:dyDescent="0.35">
      <c r="P62"/>
      <c r="S62"/>
      <c r="V62"/>
      <c r="Y62"/>
    </row>
    <row r="63" spans="1:25" x14ac:dyDescent="0.35">
      <c r="I63" t="s">
        <v>34</v>
      </c>
      <c r="K63" s="35">
        <f>K61*12</f>
        <v>164151.4124</v>
      </c>
      <c r="P63"/>
      <c r="S63"/>
      <c r="V63"/>
      <c r="Y63"/>
    </row>
    <row r="64" spans="1:25" x14ac:dyDescent="0.35">
      <c r="P64"/>
      <c r="S64"/>
      <c r="V64"/>
      <c r="Y6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</sheetData>
  <sheetProtection selectLockedCells="1"/>
  <mergeCells count="9">
    <mergeCell ref="M2:N2"/>
    <mergeCell ref="M3:N3"/>
    <mergeCell ref="M4:N4"/>
    <mergeCell ref="I60:J60"/>
    <mergeCell ref="I59:J59"/>
    <mergeCell ref="I58:J58"/>
    <mergeCell ref="I45:J45"/>
    <mergeCell ref="I46:J46"/>
    <mergeCell ref="I47:J47"/>
  </mergeCells>
  <pageMargins left="0.7" right="0.7" top="0.75" bottom="0.75" header="0.3" footer="0.3"/>
  <pageSetup scale="35" fitToHeight="0" orientation="landscape" r:id="rId1"/>
  <ignoredErrors>
    <ignoredError sqref="L9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024-81E5-4525-9E6D-70CA97D779C9}">
  <sheetPr codeName="Sheet2">
    <pageSetUpPr fitToPage="1"/>
  </sheetPr>
  <dimension ref="A1:AR660"/>
  <sheetViews>
    <sheetView workbookViewId="0">
      <pane xSplit="17" ySplit="8" topLeftCell="R9" activePane="bottomRight" state="frozen"/>
      <selection pane="topRight" activeCell="R1" sqref="R1"/>
      <selection pane="bottomLeft" activeCell="A9" sqref="A9"/>
      <selection pane="bottomRight" activeCell="L59" sqref="L59"/>
    </sheetView>
  </sheetViews>
  <sheetFormatPr defaultRowHeight="14.5" x14ac:dyDescent="0.35"/>
  <cols>
    <col min="1" max="1" width="10.7265625" bestFit="1" customWidth="1"/>
    <col min="2" max="3" width="9.453125" customWidth="1"/>
    <col min="4" max="4" width="6.26953125" customWidth="1"/>
    <col min="5" max="5" width="7.08984375" customWidth="1"/>
    <col min="6" max="6" width="2.1796875" customWidth="1"/>
    <col min="7" max="7" width="16.1796875" customWidth="1"/>
    <col min="8" max="8" width="10.36328125" customWidth="1"/>
    <col min="9" max="9" width="2" customWidth="1"/>
    <col min="10" max="10" width="12.26953125" customWidth="1"/>
    <col min="11" max="11" width="9.08984375" customWidth="1"/>
    <col min="12" max="12" width="13" customWidth="1"/>
    <col min="13" max="13" width="2.90625" customWidth="1"/>
    <col min="14" max="14" width="21.08984375" customWidth="1"/>
    <col min="15" max="15" width="16" hidden="1" customWidth="1"/>
    <col min="16" max="16" width="11.81640625" hidden="1" customWidth="1"/>
    <col min="17" max="17" width="2.81640625" style="2" hidden="1" customWidth="1"/>
    <col min="18" max="18" width="16" customWidth="1"/>
    <col min="19" max="19" width="13.36328125" bestFit="1" customWidth="1"/>
    <col min="20" max="20" width="2.81640625" style="2" customWidth="1"/>
    <col min="21" max="21" width="16" customWidth="1"/>
    <col min="22" max="22" width="14.6328125" bestFit="1" customWidth="1"/>
    <col min="23" max="23" width="2.81640625" style="2" customWidth="1"/>
    <col min="24" max="24" width="16" hidden="1" customWidth="1"/>
    <col min="25" max="25" width="10.453125" hidden="1" customWidth="1"/>
    <col min="26" max="26" width="2.81640625" style="2" hidden="1" customWidth="1"/>
    <col min="27" max="27" width="16" hidden="1" customWidth="1"/>
    <col min="28" max="28" width="10.81640625" hidden="1" customWidth="1"/>
    <col min="29" max="29" width="2.81640625" hidden="1" customWidth="1"/>
    <col min="30" max="30" width="14" hidden="1" customWidth="1"/>
    <col min="31" max="31" width="10.453125" hidden="1" customWidth="1"/>
    <col min="32" max="32" width="2.81640625" hidden="1" customWidth="1"/>
    <col min="33" max="33" width="14" customWidth="1"/>
    <col min="34" max="34" width="10.453125" bestFit="1" customWidth="1"/>
    <col min="35" max="35" width="2.81640625" customWidth="1"/>
    <col min="36" max="36" width="14" customWidth="1"/>
    <col min="37" max="37" width="11.1796875" bestFit="1" customWidth="1"/>
    <col min="38" max="38" width="2.81640625" customWidth="1"/>
    <col min="39" max="39" width="13.81640625" customWidth="1"/>
    <col min="40" max="40" width="10.453125" customWidth="1"/>
    <col min="41" max="41" width="2.81640625" customWidth="1"/>
    <col min="42" max="42" width="13.81640625" customWidth="1"/>
    <col min="43" max="43" width="10.453125" customWidth="1"/>
    <col min="44" max="44" width="2.81640625" customWidth="1"/>
  </cols>
  <sheetData>
    <row r="1" spans="1:44" ht="47" customHeight="1" x14ac:dyDescent="0.35">
      <c r="B1" t="s">
        <v>2</v>
      </c>
      <c r="C1" t="s">
        <v>3</v>
      </c>
      <c r="D1" s="4" t="s">
        <v>27</v>
      </c>
      <c r="E1" s="4" t="s">
        <v>28</v>
      </c>
      <c r="G1" t="s">
        <v>4</v>
      </c>
      <c r="H1" t="s">
        <v>5</v>
      </c>
      <c r="J1" t="s">
        <v>7</v>
      </c>
      <c r="K1" t="s">
        <v>7</v>
      </c>
      <c r="L1" t="s">
        <v>0</v>
      </c>
      <c r="M1" s="26"/>
      <c r="O1" s="4" t="s">
        <v>10</v>
      </c>
      <c r="P1" s="4" t="s">
        <v>11</v>
      </c>
      <c r="R1" s="4" t="s">
        <v>10</v>
      </c>
      <c r="S1" s="4" t="s">
        <v>11</v>
      </c>
      <c r="T1" s="6"/>
      <c r="U1" s="4" t="s">
        <v>10</v>
      </c>
      <c r="V1" s="4" t="s">
        <v>11</v>
      </c>
      <c r="X1" s="4" t="s">
        <v>10</v>
      </c>
      <c r="Y1" s="4" t="s">
        <v>11</v>
      </c>
      <c r="AA1" s="4" t="s">
        <v>10</v>
      </c>
      <c r="AB1" s="4" t="s">
        <v>11</v>
      </c>
      <c r="AC1" s="2"/>
      <c r="AD1" s="4" t="s">
        <v>10</v>
      </c>
      <c r="AE1" s="4" t="s">
        <v>11</v>
      </c>
      <c r="AF1" s="2"/>
      <c r="AG1" s="4" t="s">
        <v>10</v>
      </c>
      <c r="AH1" s="4" t="s">
        <v>11</v>
      </c>
      <c r="AI1" s="2"/>
      <c r="AJ1" s="4" t="s">
        <v>10</v>
      </c>
      <c r="AK1" s="4" t="s">
        <v>11</v>
      </c>
      <c r="AL1" s="2"/>
      <c r="AM1" s="4" t="s">
        <v>10</v>
      </c>
      <c r="AN1" s="4" t="s">
        <v>11</v>
      </c>
      <c r="AO1" s="2"/>
      <c r="AP1" s="4" t="s">
        <v>10</v>
      </c>
      <c r="AQ1" s="4" t="s">
        <v>11</v>
      </c>
      <c r="AR1" s="2"/>
    </row>
    <row r="2" spans="1:44" ht="14.5" customHeight="1" x14ac:dyDescent="0.35">
      <c r="M2" s="26"/>
      <c r="N2" s="97" t="s">
        <v>22</v>
      </c>
      <c r="O2" s="7">
        <v>101500</v>
      </c>
      <c r="P2" s="10"/>
      <c r="Q2" s="8"/>
      <c r="R2" s="10">
        <v>105000</v>
      </c>
      <c r="S2" s="10"/>
      <c r="T2" s="11"/>
      <c r="U2" s="10">
        <v>108000</v>
      </c>
      <c r="V2" s="10"/>
      <c r="W2" s="8"/>
      <c r="X2" s="10">
        <v>115000</v>
      </c>
      <c r="Y2" s="10"/>
      <c r="Z2" s="8"/>
      <c r="AA2" s="10">
        <v>120000</v>
      </c>
      <c r="AB2" s="10"/>
      <c r="AC2" s="8"/>
      <c r="AD2" s="10">
        <v>125000</v>
      </c>
      <c r="AE2" s="4"/>
      <c r="AF2" s="8"/>
      <c r="AG2" s="10">
        <v>130000</v>
      </c>
      <c r="AH2" s="4"/>
      <c r="AI2" s="8"/>
      <c r="AJ2" s="10">
        <v>133000</v>
      </c>
      <c r="AK2" s="4"/>
      <c r="AL2" s="8"/>
      <c r="AM2" s="10">
        <v>134625</v>
      </c>
      <c r="AN2" s="4"/>
      <c r="AO2" s="8"/>
      <c r="AP2" s="10">
        <v>140000</v>
      </c>
      <c r="AQ2" s="4"/>
      <c r="AR2" s="8"/>
    </row>
    <row r="3" spans="1:44" x14ac:dyDescent="0.35">
      <c r="B3" t="s">
        <v>6</v>
      </c>
      <c r="C3" t="s">
        <v>6</v>
      </c>
      <c r="J3" t="s">
        <v>1</v>
      </c>
      <c r="K3" t="s">
        <v>0</v>
      </c>
      <c r="L3" s="1" t="s">
        <v>8</v>
      </c>
      <c r="M3" s="26"/>
      <c r="N3" s="239" t="s">
        <v>21</v>
      </c>
      <c r="O3" s="20">
        <f>O2+healthcare_per_year+tax_per_year</f>
        <v>130500</v>
      </c>
      <c r="P3" s="7"/>
      <c r="Q3" s="8"/>
      <c r="R3" s="20">
        <f>R2++healthcare_per_year+tax_per_year</f>
        <v>134000</v>
      </c>
      <c r="S3" s="7"/>
      <c r="T3" s="8"/>
      <c r="U3" s="20">
        <f>U2+healthcare_per_year+tax_per_year</f>
        <v>137000</v>
      </c>
      <c r="V3" s="7"/>
      <c r="W3" s="8"/>
      <c r="X3" s="20">
        <f>X2+healthcare_per_year+tax_per_year</f>
        <v>144000</v>
      </c>
      <c r="Y3" s="7"/>
      <c r="Z3" s="8"/>
      <c r="AA3" s="20">
        <f>AA2+healthcare_per_year+tax_per_year</f>
        <v>149000</v>
      </c>
      <c r="AB3" s="7"/>
      <c r="AC3" s="8"/>
      <c r="AD3" s="20">
        <f>AD2+healthcare_per_year+tax_per_year</f>
        <v>154000</v>
      </c>
      <c r="AF3" s="8"/>
      <c r="AG3" s="20">
        <f>AG2+healthcare_per_year+tax_per_year</f>
        <v>159000</v>
      </c>
      <c r="AI3" s="8"/>
      <c r="AJ3" s="20">
        <f>AJ2+healthcare_per_year+tax_per_year</f>
        <v>162000</v>
      </c>
      <c r="AL3" s="8"/>
      <c r="AM3" s="20">
        <f>AM2+healthcare_per_year+tax_per_year</f>
        <v>163625</v>
      </c>
      <c r="AO3" s="8"/>
      <c r="AP3" s="20">
        <f>AP2+healthcare_per_year+tax_per_year</f>
        <v>169000</v>
      </c>
      <c r="AR3" s="8"/>
    </row>
    <row r="4" spans="1:44" x14ac:dyDescent="0.35">
      <c r="L4" s="1"/>
      <c r="M4" s="26"/>
      <c r="N4" s="240" t="s">
        <v>24</v>
      </c>
      <c r="O4" s="19">
        <f>O11/[0]!CURRENT_401K</f>
        <v>2.1834873060878668E-2</v>
      </c>
      <c r="R4" s="222">
        <f>R11/[0]!CURRENT_401K</f>
        <v>2.4109693744726032E-2</v>
      </c>
      <c r="U4" s="222">
        <f>U11/[0]!CURRENT_401K</f>
        <v>2.605954004516663E-2</v>
      </c>
      <c r="X4" s="222">
        <f>X11/[0]!CURRENT_401K</f>
        <v>3.0609181412861359E-2</v>
      </c>
      <c r="AA4" s="222">
        <f>AA11/[0]!CURRENT_401K</f>
        <v>3.3858925246929024E-2</v>
      </c>
      <c r="AC4" s="2"/>
      <c r="AD4" s="222">
        <f>AD11/[0]!CURRENT_401K</f>
        <v>3.7108669080996692E-2</v>
      </c>
      <c r="AF4" s="2"/>
      <c r="AG4" s="222">
        <f>AG11/[0]!CURRENT_401K</f>
        <v>4.0358412915064354E-2</v>
      </c>
      <c r="AI4" s="2"/>
      <c r="AJ4" s="222">
        <f>AJ11/[0]!CURRENT_401K</f>
        <v>4.2308259215504955E-2</v>
      </c>
      <c r="AL4" s="2"/>
      <c r="AM4" s="222">
        <f>AM11/[0]!CURRENT_401K</f>
        <v>4.3364425961576941E-2</v>
      </c>
      <c r="AO4" s="2"/>
      <c r="AP4" s="222">
        <f>AP11/[0]!CURRENT_401K</f>
        <v>4.6857900583199684E-2</v>
      </c>
      <c r="AR4" s="2"/>
    </row>
    <row r="5" spans="1:44" x14ac:dyDescent="0.35">
      <c r="M5" s="26"/>
      <c r="P5" s="3"/>
      <c r="Q5" s="14"/>
      <c r="S5" s="3"/>
      <c r="T5" s="15"/>
      <c r="V5" s="3"/>
      <c r="W5" s="14"/>
      <c r="Y5" s="3"/>
      <c r="Z5" s="14"/>
      <c r="AB5" s="3"/>
      <c r="AC5" s="2"/>
      <c r="AE5" s="3"/>
      <c r="AF5" s="2"/>
      <c r="AH5" s="3"/>
      <c r="AI5" s="2"/>
      <c r="AK5" s="3"/>
      <c r="AL5" s="2"/>
      <c r="AN5" s="3"/>
      <c r="AO5" s="2"/>
      <c r="AQ5" s="3"/>
      <c r="AR5" s="2"/>
    </row>
    <row r="6" spans="1:44" hidden="1" x14ac:dyDescent="0.35">
      <c r="B6" s="22">
        <v>62</v>
      </c>
      <c r="C6" s="22">
        <v>61</v>
      </c>
      <c r="D6" s="22">
        <v>2607</v>
      </c>
      <c r="E6" s="22">
        <v>0</v>
      </c>
      <c r="F6" s="22"/>
      <c r="G6" s="22">
        <f>D6*12</f>
        <v>31284</v>
      </c>
      <c r="H6" s="22">
        <f t="shared" ref="H6:H17" si="0">E6*12</f>
        <v>0</v>
      </c>
      <c r="I6" s="22"/>
      <c r="J6" s="22">
        <f>G6+H6</f>
        <v>31284</v>
      </c>
      <c r="K6" s="22">
        <f>G6+0</f>
        <v>31284</v>
      </c>
      <c r="L6" s="23">
        <f>$K6</f>
        <v>31284</v>
      </c>
      <c r="M6" s="26"/>
      <c r="N6" s="22"/>
      <c r="O6" s="23">
        <f>O$3-$L6</f>
        <v>99216</v>
      </c>
      <c r="P6" s="24">
        <f t="shared" ref="P6:P17" si="1">CURRENT_401K/O6</f>
        <v>15.507406164328332</v>
      </c>
      <c r="Q6" s="25"/>
      <c r="R6" s="23">
        <f t="shared" ref="R6:R17" si="2">R$3-$L6</f>
        <v>102716</v>
      </c>
      <c r="S6" s="24">
        <f t="shared" ref="S6:S17" si="3">CURRENT_401K/R6</f>
        <v>14.978998500720431</v>
      </c>
      <c r="T6" s="26"/>
      <c r="U6" s="23">
        <f t="shared" ref="U6:U17" si="4">U$3-$L6</f>
        <v>105716</v>
      </c>
      <c r="V6" s="24">
        <f t="shared" ref="V6:V17" si="5">CURRENT_401K/U6</f>
        <v>14.553925706610162</v>
      </c>
      <c r="W6" s="25"/>
      <c r="X6" s="23">
        <f t="shared" ref="X6:X17" si="6">X$3-$L6</f>
        <v>112716</v>
      </c>
      <c r="Y6" s="24">
        <f t="shared" ref="Y6:Y17" si="7">CURRENT_401K/X6</f>
        <v>13.650083484154866</v>
      </c>
      <c r="Z6" s="25"/>
      <c r="AA6" s="23">
        <f t="shared" ref="AA6:AA17" si="8">AA$3-$L6</f>
        <v>117716</v>
      </c>
      <c r="AB6" s="24">
        <f t="shared" ref="AB6:AB17" si="9">CURRENT_401K/AA6</f>
        <v>13.070294692310304</v>
      </c>
      <c r="AC6" s="12"/>
      <c r="AD6" s="7">
        <f t="shared" ref="AD6:AD17" si="10">AD$3-$L6</f>
        <v>122716</v>
      </c>
      <c r="AE6" s="3">
        <f>$L$50/AD6</f>
        <v>12.537752289839954</v>
      </c>
      <c r="AF6" s="12"/>
      <c r="AG6" s="7">
        <f t="shared" ref="AG6:AG17" si="11">AG$3-$L6</f>
        <v>127716</v>
      </c>
      <c r="AH6" s="3">
        <f>$L$50/AG6</f>
        <v>12.046907278649503</v>
      </c>
      <c r="AI6" s="12"/>
      <c r="AJ6" s="7">
        <f t="shared" ref="AJ6:AJ17" si="12">AJ$3-$L6</f>
        <v>130716</v>
      </c>
      <c r="AK6" s="3">
        <f>$L$50/AJ6</f>
        <v>11.770424508093882</v>
      </c>
      <c r="AL6" s="12"/>
      <c r="AM6" s="7">
        <f t="shared" ref="AM6:AM17" si="13">AM$3-$L6</f>
        <v>132341</v>
      </c>
      <c r="AN6" s="3">
        <f>$L$50/AM6</f>
        <v>11.625896812023484</v>
      </c>
      <c r="AO6" s="12"/>
      <c r="AP6" s="7">
        <f t="shared" ref="AP6:AP17" si="14">AP$3-$L6</f>
        <v>137716</v>
      </c>
      <c r="AQ6" s="3">
        <f>$L$50/AP6</f>
        <v>11.172142743036392</v>
      </c>
      <c r="AR6" s="12"/>
    </row>
    <row r="7" spans="1:44" hidden="1" x14ac:dyDescent="0.35">
      <c r="B7" s="27">
        <v>63</v>
      </c>
      <c r="C7" s="27">
        <v>62</v>
      </c>
      <c r="D7" s="22">
        <v>2841</v>
      </c>
      <c r="E7" s="22">
        <v>2654</v>
      </c>
      <c r="F7" s="22"/>
      <c r="G7" s="22">
        <f>D7*12</f>
        <v>34092</v>
      </c>
      <c r="H7" s="22">
        <f t="shared" si="0"/>
        <v>31848</v>
      </c>
      <c r="I7" s="22"/>
      <c r="J7" s="22">
        <f>G7+H7</f>
        <v>65940</v>
      </c>
      <c r="K7" s="22">
        <f>G6+H7</f>
        <v>63132</v>
      </c>
      <c r="L7" s="23">
        <f>$K7</f>
        <v>63132</v>
      </c>
      <c r="M7" s="26"/>
      <c r="N7" s="22"/>
      <c r="O7" s="23">
        <f t="shared" ref="O7:O17" si="15">O$3-$L7</f>
        <v>67368</v>
      </c>
      <c r="P7" s="24">
        <f t="shared" si="1"/>
        <v>22.838481326445788</v>
      </c>
      <c r="Q7" s="25"/>
      <c r="R7" s="23">
        <f t="shared" si="2"/>
        <v>70868</v>
      </c>
      <c r="S7" s="24">
        <f t="shared" si="3"/>
        <v>21.710543686854432</v>
      </c>
      <c r="T7" s="26"/>
      <c r="U7" s="23">
        <f t="shared" si="4"/>
        <v>73868</v>
      </c>
      <c r="V7" s="24">
        <f t="shared" si="5"/>
        <v>20.828813694698649</v>
      </c>
      <c r="W7" s="25"/>
      <c r="X7" s="23">
        <f t="shared" si="6"/>
        <v>80868</v>
      </c>
      <c r="Y7" s="24">
        <f t="shared" si="7"/>
        <v>19.025854602562198</v>
      </c>
      <c r="Z7" s="25"/>
      <c r="AA7" s="23">
        <f t="shared" si="8"/>
        <v>85868</v>
      </c>
      <c r="AB7" s="24">
        <f t="shared" si="9"/>
        <v>17.917999836959051</v>
      </c>
      <c r="AC7" s="12"/>
      <c r="AD7" s="7">
        <f t="shared" si="10"/>
        <v>90868</v>
      </c>
      <c r="AE7" s="3">
        <f>$L$50/AD7</f>
        <v>16.932064203019763</v>
      </c>
      <c r="AF7" s="12"/>
      <c r="AG7" s="7">
        <f t="shared" si="11"/>
        <v>95868</v>
      </c>
      <c r="AH7" s="3">
        <f>$L$50/AG7</f>
        <v>16.048971606792673</v>
      </c>
      <c r="AI7" s="12"/>
      <c r="AJ7" s="7">
        <f t="shared" si="12"/>
        <v>98868</v>
      </c>
      <c r="AK7" s="3">
        <f>$L$50/AJ7</f>
        <v>15.561989824816926</v>
      </c>
      <c r="AL7" s="12"/>
      <c r="AM7" s="7">
        <f t="shared" si="13"/>
        <v>100493</v>
      </c>
      <c r="AN7" s="3">
        <f>$L$50/AM7</f>
        <v>15.310348083946144</v>
      </c>
      <c r="AO7" s="12"/>
      <c r="AP7" s="7">
        <f t="shared" si="14"/>
        <v>105868</v>
      </c>
      <c r="AQ7" s="3">
        <f>$L$50/AP7</f>
        <v>14.53302990516492</v>
      </c>
      <c r="AR7" s="12"/>
    </row>
    <row r="8" spans="1:44" hidden="1" x14ac:dyDescent="0.35">
      <c r="A8" t="s">
        <v>253</v>
      </c>
      <c r="B8" s="246">
        <f>B7+1</f>
        <v>64</v>
      </c>
      <c r="C8" s="246">
        <f t="shared" ref="C8:C41" si="16">C7+1</f>
        <v>63</v>
      </c>
      <c r="D8" s="246">
        <v>2964</v>
      </c>
      <c r="E8" s="246">
        <v>2931</v>
      </c>
      <c r="F8" s="246"/>
      <c r="G8" s="246">
        <f t="shared" ref="G8:G17" si="17">D8*12</f>
        <v>35568</v>
      </c>
      <c r="H8" s="246">
        <f t="shared" si="0"/>
        <v>35172</v>
      </c>
      <c r="I8" s="246"/>
      <c r="J8" s="246">
        <f t="shared" ref="J8:J15" si="18">G8+H8</f>
        <v>70740</v>
      </c>
      <c r="K8" s="246">
        <f t="shared" ref="K8:K17" si="19">G7+H8</f>
        <v>69264</v>
      </c>
      <c r="L8" s="247">
        <f>$K8+L$55</f>
        <v>85241.239650000003</v>
      </c>
      <c r="M8" s="248"/>
      <c r="N8" s="246"/>
      <c r="O8" s="247">
        <f t="shared" si="15"/>
        <v>45258.760349999997</v>
      </c>
      <c r="P8" s="249">
        <f t="shared" si="1"/>
        <v>33.99524861268101</v>
      </c>
      <c r="Q8" s="250"/>
      <c r="R8" s="247">
        <f t="shared" si="2"/>
        <v>48758.760349999997</v>
      </c>
      <c r="S8" s="247">
        <f t="shared" si="3"/>
        <v>31.555002607854444</v>
      </c>
      <c r="T8" s="248"/>
      <c r="U8" s="247">
        <f t="shared" si="4"/>
        <v>51758.760349999997</v>
      </c>
      <c r="V8" s="249">
        <f t="shared" si="5"/>
        <v>29.72603670559123</v>
      </c>
      <c r="W8" s="250"/>
      <c r="X8" s="247">
        <f t="shared" si="6"/>
        <v>58758.760349999997</v>
      </c>
      <c r="Y8" s="247">
        <f t="shared" si="7"/>
        <v>26.184739106736448</v>
      </c>
      <c r="Z8" s="250"/>
      <c r="AA8" s="247">
        <f t="shared" si="8"/>
        <v>63758.760349999997</v>
      </c>
      <c r="AB8" s="247">
        <f t="shared" si="9"/>
        <v>24.131316254488627</v>
      </c>
      <c r="AC8" s="49"/>
      <c r="AD8" s="7">
        <f t="shared" si="10"/>
        <v>68758.760349999997</v>
      </c>
      <c r="AE8" s="247">
        <f t="shared" ref="AE8:AE17" si="20">CURRENT_401K/AD8</f>
        <v>22.376535035946148</v>
      </c>
      <c r="AF8" s="49"/>
      <c r="AG8" s="7">
        <f t="shared" si="11"/>
        <v>73758.760349999997</v>
      </c>
      <c r="AH8" s="247">
        <f t="shared" ref="AH8:AH17" si="21">CURRENT_401K/AG8</f>
        <v>20.859661994034582</v>
      </c>
      <c r="AI8" s="49"/>
      <c r="AJ8" s="7">
        <f t="shared" si="12"/>
        <v>76758.760349999997</v>
      </c>
      <c r="AK8" s="247">
        <f t="shared" ref="AK8:AK17" si="22">CURRENT_401K/AJ8</f>
        <v>20.044393669002236</v>
      </c>
      <c r="AL8" s="49"/>
      <c r="AM8" s="7">
        <f t="shared" si="13"/>
        <v>78383.760349999997</v>
      </c>
      <c r="AN8" s="247">
        <f t="shared" ref="AN8:AN17" si="23">CURRENT_401K/AM8</f>
        <v>19.628846627539986</v>
      </c>
      <c r="AO8" s="49"/>
      <c r="AP8" s="7">
        <f t="shared" si="14"/>
        <v>83758.760349999997</v>
      </c>
      <c r="AQ8" s="247">
        <f t="shared" ref="AQ8:AQ17" si="24">CURRENT_401K/AP8</f>
        <v>18.369216587862262</v>
      </c>
      <c r="AR8" s="49"/>
    </row>
    <row r="9" spans="1:44" x14ac:dyDescent="0.35">
      <c r="A9" s="22" t="s">
        <v>255</v>
      </c>
      <c r="B9" s="22">
        <f t="shared" ref="B9:B41" si="25">B8+1</f>
        <v>65</v>
      </c>
      <c r="C9" s="130">
        <f t="shared" si="16"/>
        <v>64</v>
      </c>
      <c r="D9" s="22">
        <v>3283</v>
      </c>
      <c r="E9" s="130">
        <v>3109</v>
      </c>
      <c r="F9" s="22"/>
      <c r="G9" s="22">
        <f t="shared" si="17"/>
        <v>39396</v>
      </c>
      <c r="H9" s="130">
        <f t="shared" si="0"/>
        <v>37308</v>
      </c>
      <c r="I9" s="22"/>
      <c r="J9" s="130">
        <f t="shared" si="18"/>
        <v>76704</v>
      </c>
      <c r="K9" s="22">
        <f>G8+H9</f>
        <v>72876</v>
      </c>
      <c r="L9" s="131">
        <f>$J9+L$55</f>
        <v>92681.239650000003</v>
      </c>
      <c r="N9" s="130"/>
      <c r="O9" s="130">
        <f t="shared" si="15"/>
        <v>37818.760349999997</v>
      </c>
      <c r="P9" s="130">
        <f t="shared" si="1"/>
        <v>40.68305771423838</v>
      </c>
      <c r="Q9" s="130"/>
      <c r="R9" s="131">
        <f t="shared" si="2"/>
        <v>41318.760349999997</v>
      </c>
      <c r="S9" s="131">
        <f t="shared" si="3"/>
        <v>37.236906358445481</v>
      </c>
      <c r="T9" s="131"/>
      <c r="U9" s="131">
        <f t="shared" si="4"/>
        <v>44318.760349999997</v>
      </c>
      <c r="V9" s="131">
        <f t="shared" si="5"/>
        <v>34.716287140012476</v>
      </c>
      <c r="W9" s="131"/>
      <c r="X9" s="131">
        <f t="shared" si="6"/>
        <v>51318.760349999997</v>
      </c>
      <c r="Y9" s="131">
        <f t="shared" si="7"/>
        <v>29.980903659922486</v>
      </c>
      <c r="Z9" s="131"/>
      <c r="AA9" s="131">
        <f t="shared" si="8"/>
        <v>56318.760349999997</v>
      </c>
      <c r="AB9" s="131">
        <f t="shared" si="9"/>
        <v>27.319188143316438</v>
      </c>
      <c r="AC9" s="131"/>
      <c r="AD9" s="131">
        <f t="shared" si="10"/>
        <v>61318.760349999997</v>
      </c>
      <c r="AE9" s="131">
        <f t="shared" si="20"/>
        <v>25.091551121026534</v>
      </c>
      <c r="AF9" s="131"/>
      <c r="AG9" s="131">
        <f t="shared" si="11"/>
        <v>66318.760349999997</v>
      </c>
      <c r="AH9" s="131">
        <f t="shared" si="21"/>
        <v>23.1998125700792</v>
      </c>
      <c r="AI9" s="131"/>
      <c r="AJ9" s="131">
        <f t="shared" si="12"/>
        <v>69318.760349999997</v>
      </c>
      <c r="AK9" s="131">
        <f t="shared" si="22"/>
        <v>22.195763487856428</v>
      </c>
      <c r="AL9" s="131"/>
      <c r="AM9" s="131">
        <f t="shared" si="13"/>
        <v>70943.760349999997</v>
      </c>
      <c r="AN9" s="131">
        <f t="shared" si="23"/>
        <v>21.687359147716787</v>
      </c>
      <c r="AO9" s="131"/>
      <c r="AP9" s="131">
        <f t="shared" si="14"/>
        <v>76318.760349999997</v>
      </c>
      <c r="AQ9" s="131">
        <f t="shared" si="24"/>
        <v>20.159955467620485</v>
      </c>
      <c r="AR9" s="25"/>
    </row>
    <row r="10" spans="1:44" x14ac:dyDescent="0.35">
      <c r="A10" s="22" t="s">
        <v>424</v>
      </c>
      <c r="B10" s="28">
        <v>65.33</v>
      </c>
      <c r="C10" s="244">
        <v>64</v>
      </c>
      <c r="D10" s="28">
        <v>3367</v>
      </c>
      <c r="E10" s="244">
        <v>3109</v>
      </c>
      <c r="F10" s="22"/>
      <c r="G10" s="28">
        <f t="shared" si="17"/>
        <v>40404</v>
      </c>
      <c r="H10" s="244">
        <f t="shared" si="0"/>
        <v>37308</v>
      </c>
      <c r="I10" s="22"/>
      <c r="J10" s="244">
        <f>G10+H10</f>
        <v>77712</v>
      </c>
      <c r="K10" s="244">
        <f>G10+H10</f>
        <v>77712</v>
      </c>
      <c r="L10" s="245">
        <f>$J10+L$55</f>
        <v>93689.239650000003</v>
      </c>
      <c r="N10" s="244"/>
      <c r="O10" s="244"/>
      <c r="P10" s="244"/>
      <c r="Q10" s="244"/>
      <c r="R10" s="245">
        <f t="shared" si="2"/>
        <v>40310.760349999997</v>
      </c>
      <c r="S10" s="245">
        <f t="shared" si="3"/>
        <v>38.16804239466547</v>
      </c>
      <c r="T10" s="245"/>
      <c r="U10" s="245">
        <f t="shared" si="4"/>
        <v>43310.760349999997</v>
      </c>
      <c r="V10" s="245">
        <f t="shared" ref="V10" si="26">CURRENT_401K/U10</f>
        <v>35.5242622749291</v>
      </c>
      <c r="W10" s="245"/>
      <c r="X10" s="245">
        <f t="shared" si="6"/>
        <v>50310.760349999997</v>
      </c>
      <c r="Y10" s="245">
        <f t="shared" ref="Y10" si="27">CURRENT_401K/X10</f>
        <v>30.581585316867507</v>
      </c>
      <c r="Z10" s="245"/>
      <c r="AA10" s="245">
        <f t="shared" si="8"/>
        <v>55310.760349999997</v>
      </c>
      <c r="AB10" s="245">
        <f t="shared" ref="AB10" si="28">CURRENT_401K/AA10</f>
        <v>27.817061278203887</v>
      </c>
      <c r="AC10" s="245"/>
      <c r="AD10" s="245">
        <f t="shared" si="10"/>
        <v>60310.760349999997</v>
      </c>
      <c r="AE10" s="245">
        <f t="shared" ref="AE10" si="29">CURRENT_401K/AD10</f>
        <v>25.510917141007326</v>
      </c>
      <c r="AF10" s="245"/>
      <c r="AG10" s="245">
        <f t="shared" si="11"/>
        <v>65310.760349999997</v>
      </c>
      <c r="AH10" s="245">
        <f t="shared" ref="AH10" si="30">CURRENT_401K/AG10</f>
        <v>23.557876248182431</v>
      </c>
      <c r="AI10" s="245"/>
      <c r="AJ10" s="245">
        <f t="shared" si="12"/>
        <v>68310.760349999997</v>
      </c>
      <c r="AK10" s="245">
        <f t="shared" ref="AK10" si="31">CURRENT_401K/AJ10</f>
        <v>22.523286259980853</v>
      </c>
      <c r="AL10" s="245"/>
      <c r="AM10" s="245">
        <f t="shared" si="13"/>
        <v>69935.760349999997</v>
      </c>
      <c r="AN10" s="245">
        <f t="shared" ref="AN10" si="32">CURRENT_401K/AM10</f>
        <v>21.999943981448396</v>
      </c>
      <c r="AO10" s="245"/>
      <c r="AP10" s="245">
        <f t="shared" si="14"/>
        <v>75310.760349999997</v>
      </c>
      <c r="AQ10" s="245">
        <f t="shared" ref="AQ10" si="33">CURRENT_401K/AP10</f>
        <v>20.429787228937464</v>
      </c>
      <c r="AR10" s="25"/>
    </row>
    <row r="11" spans="1:44" x14ac:dyDescent="0.35">
      <c r="A11" s="22" t="s">
        <v>256</v>
      </c>
      <c r="B11" s="22">
        <f>B9+1</f>
        <v>66</v>
      </c>
      <c r="C11" s="28">
        <f>C9+1</f>
        <v>65</v>
      </c>
      <c r="D11" s="22">
        <v>3536</v>
      </c>
      <c r="E11" s="28">
        <v>3377</v>
      </c>
      <c r="F11" s="29"/>
      <c r="G11" s="22">
        <f t="shared" si="17"/>
        <v>42432</v>
      </c>
      <c r="H11" s="28">
        <f t="shared" si="0"/>
        <v>40524</v>
      </c>
      <c r="I11" s="28"/>
      <c r="J11" s="22">
        <f>H11+G11</f>
        <v>82956</v>
      </c>
      <c r="K11" s="28">
        <f>G$10+H$11</f>
        <v>80928</v>
      </c>
      <c r="L11" s="30">
        <f>$K11+L$55</f>
        <v>96905.239650000003</v>
      </c>
      <c r="M11" s="28"/>
      <c r="N11" s="28"/>
      <c r="O11" s="30">
        <f t="shared" si="15"/>
        <v>33594.760349999997</v>
      </c>
      <c r="P11" s="31">
        <f t="shared" si="1"/>
        <v>45.798296935908937</v>
      </c>
      <c r="Q11" s="28"/>
      <c r="R11" s="30">
        <f t="shared" si="2"/>
        <v>37094.760349999997</v>
      </c>
      <c r="S11" s="30">
        <f t="shared" si="3"/>
        <v>41.477092599683019</v>
      </c>
      <c r="T11" s="30"/>
      <c r="U11" s="30">
        <f>U$3-$L11</f>
        <v>40094.760349999997</v>
      </c>
      <c r="V11" s="30">
        <f t="shared" si="5"/>
        <v>38.373662707276914</v>
      </c>
      <c r="W11" s="30"/>
      <c r="X11" s="30">
        <f t="shared" si="6"/>
        <v>47094.760349999997</v>
      </c>
      <c r="Y11" s="30">
        <f t="shared" si="7"/>
        <v>32.669936072835327</v>
      </c>
      <c r="Z11" s="30"/>
      <c r="AA11" s="30">
        <f t="shared" si="8"/>
        <v>52094.760349999997</v>
      </c>
      <c r="AB11" s="30">
        <f t="shared" si="9"/>
        <v>29.534310162154338</v>
      </c>
      <c r="AC11" s="30"/>
      <c r="AD11" s="30">
        <f t="shared" si="10"/>
        <v>57094.760349999997</v>
      </c>
      <c r="AE11" s="30">
        <f t="shared" si="20"/>
        <v>26.947881041416789</v>
      </c>
      <c r="AF11" s="30"/>
      <c r="AG11" s="30">
        <f t="shared" si="11"/>
        <v>62094.760349999997</v>
      </c>
      <c r="AH11" s="30">
        <f t="shared" si="21"/>
        <v>24.77798128743402</v>
      </c>
      <c r="AI11" s="30"/>
      <c r="AJ11" s="30">
        <f t="shared" si="12"/>
        <v>65094.760349999997</v>
      </c>
      <c r="AK11" s="30">
        <f t="shared" si="22"/>
        <v>23.636046921862579</v>
      </c>
      <c r="AL11" s="30"/>
      <c r="AM11" s="30">
        <f t="shared" si="13"/>
        <v>66719.760349999997</v>
      </c>
      <c r="AN11" s="30">
        <f t="shared" si="23"/>
        <v>23.060376744893386</v>
      </c>
      <c r="AO11" s="30"/>
      <c r="AP11" s="30">
        <f t="shared" si="14"/>
        <v>72094.760349999997</v>
      </c>
      <c r="AQ11" s="30">
        <f t="shared" si="24"/>
        <v>21.341118307774497</v>
      </c>
      <c r="AR11" s="25"/>
    </row>
    <row r="12" spans="1:44" x14ac:dyDescent="0.35">
      <c r="A12" s="251" t="s">
        <v>427</v>
      </c>
      <c r="B12" s="241">
        <v>65.33</v>
      </c>
      <c r="C12" s="241">
        <v>65</v>
      </c>
      <c r="D12" s="241">
        <v>3367</v>
      </c>
      <c r="E12" s="241">
        <v>3377</v>
      </c>
      <c r="F12" s="241"/>
      <c r="G12" s="241">
        <f t="shared" si="17"/>
        <v>40404</v>
      </c>
      <c r="H12" s="241">
        <f>E12*12</f>
        <v>40524</v>
      </c>
      <c r="I12" s="241"/>
      <c r="J12" s="241"/>
      <c r="K12" s="241">
        <f>G$12+H$11</f>
        <v>80928</v>
      </c>
      <c r="L12" s="242">
        <f>K12+guarantee_annuity</f>
        <v>103527</v>
      </c>
      <c r="M12" s="243"/>
      <c r="N12" s="241"/>
      <c r="O12" s="242"/>
      <c r="P12" s="243"/>
      <c r="Q12" s="241"/>
      <c r="R12" s="242">
        <f>R$3-$L12</f>
        <v>30473</v>
      </c>
      <c r="S12" s="242">
        <f>CURRENT_401K/R12</f>
        <v>50.49003412857283</v>
      </c>
      <c r="T12" s="242"/>
      <c r="U12" s="242">
        <f>U$3-$L12</f>
        <v>33473</v>
      </c>
      <c r="V12" s="242">
        <f>CURRENT_401K/U12</f>
        <v>45.964891405012992</v>
      </c>
      <c r="W12" s="242"/>
      <c r="X12" s="242">
        <f>X$3-$L12</f>
        <v>40473</v>
      </c>
      <c r="Y12" s="242">
        <f>CURRENT_401K/X12</f>
        <v>38.015042373928296</v>
      </c>
      <c r="Z12" s="242"/>
      <c r="AA12" s="242">
        <f>AA$3-$L12</f>
        <v>45473</v>
      </c>
      <c r="AB12" s="242">
        <f>CURRENT_401K/AA12</f>
        <v>33.835084775581109</v>
      </c>
      <c r="AC12" s="242"/>
      <c r="AD12" s="242">
        <f>AD$3-$L12</f>
        <v>50473</v>
      </c>
      <c r="AE12" s="242">
        <f>CURRENT_401K/AD12</f>
        <v>30.483284330235964</v>
      </c>
      <c r="AF12" s="242"/>
      <c r="AG12" s="242">
        <f>AG$3-$L12</f>
        <v>55473</v>
      </c>
      <c r="AH12" s="242">
        <f>CURRENT_401K/AG12</f>
        <v>27.735705838876566</v>
      </c>
      <c r="AI12" s="242"/>
      <c r="AJ12" s="242">
        <f>AJ$3-$L12</f>
        <v>58473</v>
      </c>
      <c r="AK12" s="242">
        <f>CURRENT_401K/AJ12</f>
        <v>26.312705180168621</v>
      </c>
      <c r="AL12" s="242"/>
      <c r="AM12" s="242">
        <f>AM$3-$L12</f>
        <v>60098</v>
      </c>
      <c r="AN12" s="242">
        <f>CURRENT_401K/AM12</f>
        <v>25.601231488568668</v>
      </c>
      <c r="AO12" s="241"/>
      <c r="AP12" s="242">
        <f>AP$3-$L12</f>
        <v>65473</v>
      </c>
      <c r="AQ12" s="242">
        <f>CURRENT_401K/AP12</f>
        <v>23.499500710216424</v>
      </c>
      <c r="AR12" s="25"/>
    </row>
    <row r="13" spans="1:44" x14ac:dyDescent="0.35">
      <c r="A13" s="22" t="s">
        <v>258</v>
      </c>
      <c r="B13" s="223">
        <f>B11+1</f>
        <v>67</v>
      </c>
      <c r="C13" s="22">
        <f>C11+1</f>
        <v>66</v>
      </c>
      <c r="D13" s="223">
        <v>3788</v>
      </c>
      <c r="E13" s="22">
        <v>3644</v>
      </c>
      <c r="F13" s="22"/>
      <c r="G13" s="223">
        <f t="shared" si="17"/>
        <v>45456</v>
      </c>
      <c r="H13" s="22">
        <f t="shared" si="0"/>
        <v>43728</v>
      </c>
      <c r="I13" s="22"/>
      <c r="J13" s="22">
        <f t="shared" si="18"/>
        <v>89184</v>
      </c>
      <c r="K13" s="22">
        <f>G11+H13</f>
        <v>86160</v>
      </c>
      <c r="L13" s="23">
        <f>$K13+guarantee_annuity</f>
        <v>108759</v>
      </c>
      <c r="M13" s="26"/>
      <c r="N13" s="22"/>
      <c r="O13" s="23">
        <f t="shared" si="15"/>
        <v>21741</v>
      </c>
      <c r="P13" s="24">
        <f t="shared" si="1"/>
        <v>70.768723149809105</v>
      </c>
      <c r="Q13" s="25"/>
      <c r="R13" s="23">
        <f t="shared" si="2"/>
        <v>25241</v>
      </c>
      <c r="S13" s="23">
        <f t="shared" si="3"/>
        <v>60.955699457232271</v>
      </c>
      <c r="T13" s="26"/>
      <c r="U13" s="23">
        <f t="shared" si="4"/>
        <v>28241</v>
      </c>
      <c r="V13" s="24">
        <f t="shared" si="5"/>
        <v>54.480464926879357</v>
      </c>
      <c r="W13" s="25"/>
      <c r="X13" s="23">
        <f t="shared" si="6"/>
        <v>35241</v>
      </c>
      <c r="Y13" s="23">
        <f t="shared" si="7"/>
        <v>43.65888624045855</v>
      </c>
      <c r="Z13" s="25"/>
      <c r="AA13" s="23">
        <f t="shared" si="8"/>
        <v>40241</v>
      </c>
      <c r="AB13" s="23">
        <f t="shared" si="9"/>
        <v>38.234209139931906</v>
      </c>
      <c r="AC13" s="25"/>
      <c r="AD13" s="23">
        <f t="shared" si="10"/>
        <v>45241</v>
      </c>
      <c r="AE13" s="23">
        <f t="shared" si="20"/>
        <v>34.008594195530598</v>
      </c>
      <c r="AF13" s="25"/>
      <c r="AG13" s="23">
        <f t="shared" si="11"/>
        <v>50241</v>
      </c>
      <c r="AH13" s="23">
        <f t="shared" si="21"/>
        <v>30.624048287255427</v>
      </c>
      <c r="AI13" s="25"/>
      <c r="AJ13" s="23">
        <f t="shared" si="12"/>
        <v>53241</v>
      </c>
      <c r="AK13" s="23">
        <f t="shared" si="22"/>
        <v>28.898458143160344</v>
      </c>
      <c r="AL13" s="25"/>
      <c r="AM13" s="23">
        <f t="shared" si="13"/>
        <v>54866</v>
      </c>
      <c r="AN13" s="23">
        <f t="shared" si="23"/>
        <v>28.042554769802788</v>
      </c>
      <c r="AO13" s="25"/>
      <c r="AP13" s="23">
        <f t="shared" si="14"/>
        <v>60241</v>
      </c>
      <c r="AQ13" s="23">
        <f t="shared" si="24"/>
        <v>25.540459321724406</v>
      </c>
      <c r="AR13" s="25"/>
    </row>
    <row r="14" spans="1:44" x14ac:dyDescent="0.35">
      <c r="A14" s="22" t="s">
        <v>257</v>
      </c>
      <c r="B14" s="22">
        <f>B13+1</f>
        <v>68</v>
      </c>
      <c r="C14" s="223">
        <f>C13+1</f>
        <v>67</v>
      </c>
      <c r="D14" s="22">
        <v>3889</v>
      </c>
      <c r="E14" s="223">
        <v>3912</v>
      </c>
      <c r="F14" s="25"/>
      <c r="G14" s="22">
        <f t="shared" si="17"/>
        <v>46668</v>
      </c>
      <c r="H14" s="223">
        <f t="shared" si="0"/>
        <v>46944</v>
      </c>
      <c r="I14" s="25"/>
      <c r="J14" s="22">
        <f>G14+H14</f>
        <v>93612</v>
      </c>
      <c r="K14" s="223">
        <f>G13+H14</f>
        <v>92400</v>
      </c>
      <c r="L14" s="224">
        <f>$K14+L$55</f>
        <v>108377.23965</v>
      </c>
      <c r="M14" s="26"/>
      <c r="N14" s="25"/>
      <c r="O14" s="32">
        <f t="shared" si="15"/>
        <v>22122.760349999997</v>
      </c>
      <c r="P14" s="26">
        <f t="shared" si="1"/>
        <v>69.547506082350168</v>
      </c>
      <c r="Q14" s="25"/>
      <c r="R14" s="224">
        <f t="shared" si="2"/>
        <v>25622.760349999997</v>
      </c>
      <c r="S14" s="224">
        <f t="shared" si="3"/>
        <v>60.047504210450924</v>
      </c>
      <c r="T14" s="32"/>
      <c r="U14" s="224">
        <f t="shared" si="4"/>
        <v>28622.760349999997</v>
      </c>
      <c r="V14" s="224">
        <f t="shared" si="5"/>
        <v>53.753823572086048</v>
      </c>
      <c r="W14" s="32"/>
      <c r="X14" s="224">
        <f t="shared" si="6"/>
        <v>35622.760349999997</v>
      </c>
      <c r="Y14" s="224">
        <f t="shared" si="7"/>
        <v>43.191004708314246</v>
      </c>
      <c r="Z14" s="32"/>
      <c r="AA14" s="224">
        <f t="shared" si="8"/>
        <v>40622.760349999997</v>
      </c>
      <c r="AB14" s="224">
        <f t="shared" si="9"/>
        <v>37.874895667940493</v>
      </c>
      <c r="AC14" s="32"/>
      <c r="AD14" s="224">
        <f t="shared" si="10"/>
        <v>45622.760349999997</v>
      </c>
      <c r="AE14" s="224">
        <f t="shared" si="20"/>
        <v>33.724018410911427</v>
      </c>
      <c r="AF14" s="32"/>
      <c r="AG14" s="224">
        <f t="shared" si="11"/>
        <v>50622.760349999997</v>
      </c>
      <c r="AH14" s="224">
        <f t="shared" si="21"/>
        <v>30.393103800788687</v>
      </c>
      <c r="AI14" s="32"/>
      <c r="AJ14" s="224">
        <f t="shared" si="12"/>
        <v>53622.760349999997</v>
      </c>
      <c r="AK14" s="224">
        <f t="shared" si="22"/>
        <v>28.692719284825102</v>
      </c>
      <c r="AL14" s="32"/>
      <c r="AM14" s="224">
        <f t="shared" si="13"/>
        <v>55247.760349999997</v>
      </c>
      <c r="AN14" s="224">
        <f t="shared" si="23"/>
        <v>27.848781566038628</v>
      </c>
      <c r="AO14" s="25"/>
      <c r="AP14" s="224">
        <f t="shared" si="14"/>
        <v>60622.760349999997</v>
      </c>
      <c r="AQ14" s="224">
        <f t="shared" si="24"/>
        <v>25.379623117078996</v>
      </c>
      <c r="AR14" s="25"/>
    </row>
    <row r="15" spans="1:44" x14ac:dyDescent="0.35">
      <c r="A15" s="22" t="s">
        <v>259</v>
      </c>
      <c r="B15" s="22">
        <f t="shared" si="25"/>
        <v>69</v>
      </c>
      <c r="C15" s="22">
        <f t="shared" si="16"/>
        <v>68</v>
      </c>
      <c r="D15" s="22">
        <v>4192</v>
      </c>
      <c r="E15" s="22">
        <v>3942</v>
      </c>
      <c r="F15" s="22"/>
      <c r="G15" s="22">
        <f t="shared" si="17"/>
        <v>50304</v>
      </c>
      <c r="H15" s="22">
        <f t="shared" si="0"/>
        <v>47304</v>
      </c>
      <c r="I15" s="22"/>
      <c r="J15" s="22">
        <f t="shared" si="18"/>
        <v>97608</v>
      </c>
      <c r="K15" s="22">
        <f t="shared" si="19"/>
        <v>93972</v>
      </c>
      <c r="L15" s="23">
        <f>$K15+L$55</f>
        <v>109949.23965</v>
      </c>
      <c r="M15" s="26"/>
      <c r="N15" s="22"/>
      <c r="O15" s="23">
        <f t="shared" si="15"/>
        <v>20550.760349999997</v>
      </c>
      <c r="P15" s="24">
        <f t="shared" si="1"/>
        <v>74.867439637093526</v>
      </c>
      <c r="Q15" s="25"/>
      <c r="R15" s="23">
        <f t="shared" si="2"/>
        <v>24050.760349999997</v>
      </c>
      <c r="S15" s="23">
        <f t="shared" si="3"/>
        <v>63.97231470480309</v>
      </c>
      <c r="T15" s="26"/>
      <c r="U15" s="23">
        <f t="shared" si="4"/>
        <v>27050.760349999997</v>
      </c>
      <c r="V15" s="24">
        <f t="shared" si="5"/>
        <v>56.87761785963994</v>
      </c>
      <c r="W15" s="25"/>
      <c r="X15" s="23">
        <f t="shared" si="6"/>
        <v>34050.760349999997</v>
      </c>
      <c r="Y15" s="23">
        <f t="shared" si="7"/>
        <v>45.184976610955474</v>
      </c>
      <c r="Z15" s="25"/>
      <c r="AA15" s="23">
        <f t="shared" si="8"/>
        <v>39050.760349999997</v>
      </c>
      <c r="AB15" s="23">
        <f t="shared" si="9"/>
        <v>39.399560884606437</v>
      </c>
      <c r="AC15" s="25"/>
      <c r="AD15" s="23">
        <f t="shared" si="10"/>
        <v>44050.760349999997</v>
      </c>
      <c r="AE15" s="23">
        <f t="shared" si="20"/>
        <v>34.927497227638661</v>
      </c>
      <c r="AF15" s="25"/>
      <c r="AG15" s="23">
        <f t="shared" si="11"/>
        <v>49050.760349999997</v>
      </c>
      <c r="AH15" s="23">
        <f t="shared" si="21"/>
        <v>31.367155147473671</v>
      </c>
      <c r="AI15" s="25"/>
      <c r="AJ15" s="23">
        <f t="shared" si="12"/>
        <v>52050.760349999997</v>
      </c>
      <c r="AK15" s="23">
        <f t="shared" si="22"/>
        <v>29.559276361272211</v>
      </c>
      <c r="AL15" s="25"/>
      <c r="AM15" s="23">
        <f t="shared" si="13"/>
        <v>53675.760349999997</v>
      </c>
      <c r="AN15" s="23">
        <f t="shared" si="23"/>
        <v>28.664387797535873</v>
      </c>
      <c r="AO15" s="25"/>
      <c r="AP15" s="23">
        <f t="shared" si="14"/>
        <v>59050.760349999997</v>
      </c>
      <c r="AQ15" s="23">
        <f t="shared" si="24"/>
        <v>26.055258236823022</v>
      </c>
      <c r="AR15" s="25"/>
    </row>
    <row r="16" spans="1:44" x14ac:dyDescent="0.35">
      <c r="A16" s="22" t="s">
        <v>260</v>
      </c>
      <c r="B16" s="33">
        <f t="shared" si="25"/>
        <v>70</v>
      </c>
      <c r="C16" s="22">
        <f t="shared" si="16"/>
        <v>69</v>
      </c>
      <c r="D16" s="33">
        <v>4698</v>
      </c>
      <c r="E16" s="22">
        <v>4258</v>
      </c>
      <c r="F16" s="22"/>
      <c r="G16" s="33">
        <f t="shared" si="17"/>
        <v>56376</v>
      </c>
      <c r="H16" s="22">
        <f t="shared" si="0"/>
        <v>51096</v>
      </c>
      <c r="I16" s="22"/>
      <c r="J16" s="33">
        <f>G16+H16</f>
        <v>107472</v>
      </c>
      <c r="K16" s="22">
        <f t="shared" si="19"/>
        <v>101400</v>
      </c>
      <c r="L16" s="23">
        <f>$K16+L$55</f>
        <v>117377.23965</v>
      </c>
      <c r="M16" s="26"/>
      <c r="N16" s="22"/>
      <c r="O16" s="23">
        <f t="shared" si="15"/>
        <v>13122.760349999997</v>
      </c>
      <c r="P16" s="24">
        <f t="shared" si="1"/>
        <v>117.24536370124295</v>
      </c>
      <c r="Q16" s="25"/>
      <c r="R16" s="23">
        <f t="shared" si="2"/>
        <v>16622.760349999997</v>
      </c>
      <c r="S16" s="23">
        <f t="shared" si="3"/>
        <v>92.558803568385684</v>
      </c>
      <c r="T16" s="26"/>
      <c r="U16" s="23">
        <f t="shared" si="4"/>
        <v>19622.760349999997</v>
      </c>
      <c r="V16" s="24">
        <f t="shared" si="5"/>
        <v>78.408072185420139</v>
      </c>
      <c r="W16" s="25"/>
      <c r="X16" s="23">
        <f t="shared" si="6"/>
        <v>26622.760349999997</v>
      </c>
      <c r="Y16" s="23">
        <f t="shared" si="7"/>
        <v>57.792009159561097</v>
      </c>
      <c r="Z16" s="25"/>
      <c r="AA16" s="23">
        <f t="shared" si="8"/>
        <v>31622.760349999997</v>
      </c>
      <c r="AB16" s="23">
        <f t="shared" si="9"/>
        <v>48.654285488395068</v>
      </c>
      <c r="AC16" s="25"/>
      <c r="AD16" s="23">
        <f t="shared" si="10"/>
        <v>36622.760349999997</v>
      </c>
      <c r="AE16" s="23">
        <f t="shared" si="20"/>
        <v>42.011656011068538</v>
      </c>
      <c r="AF16" s="25"/>
      <c r="AG16" s="23">
        <f t="shared" si="11"/>
        <v>41622.760349999997</v>
      </c>
      <c r="AH16" s="23">
        <f t="shared" si="21"/>
        <v>36.964939303935424</v>
      </c>
      <c r="AI16" s="25"/>
      <c r="AJ16" s="23">
        <f t="shared" si="12"/>
        <v>44622.760349999997</v>
      </c>
      <c r="AK16" s="23">
        <f t="shared" si="22"/>
        <v>34.479776641607963</v>
      </c>
      <c r="AL16" s="25"/>
      <c r="AM16" s="23">
        <f t="shared" si="13"/>
        <v>46247.760349999997</v>
      </c>
      <c r="AN16" s="23">
        <f t="shared" si="23"/>
        <v>33.268266362654252</v>
      </c>
      <c r="AO16" s="25"/>
      <c r="AP16" s="23">
        <f t="shared" si="14"/>
        <v>51622.760349999997</v>
      </c>
      <c r="AQ16" s="23">
        <f t="shared" si="24"/>
        <v>29.804349855925516</v>
      </c>
      <c r="AR16" s="25"/>
    </row>
    <row r="17" spans="1:44" x14ac:dyDescent="0.35">
      <c r="A17" s="22" t="s">
        <v>261</v>
      </c>
      <c r="B17" s="22">
        <f t="shared" si="25"/>
        <v>71</v>
      </c>
      <c r="C17" s="33">
        <f t="shared" si="16"/>
        <v>70</v>
      </c>
      <c r="D17" s="22">
        <v>4698</v>
      </c>
      <c r="E17" s="33">
        <v>4863</v>
      </c>
      <c r="F17" s="33"/>
      <c r="G17" s="22">
        <f t="shared" si="17"/>
        <v>56376</v>
      </c>
      <c r="H17" s="33">
        <f t="shared" si="0"/>
        <v>58356</v>
      </c>
      <c r="I17" s="33"/>
      <c r="J17" s="22"/>
      <c r="K17" s="33">
        <f t="shared" si="19"/>
        <v>114732</v>
      </c>
      <c r="L17" s="34">
        <f>$K17+L$55</f>
        <v>130709.23965</v>
      </c>
      <c r="M17" s="26"/>
      <c r="N17" s="33"/>
      <c r="O17" s="34">
        <f t="shared" si="15"/>
        <v>-209.23965000000317</v>
      </c>
      <c r="P17" s="43">
        <f t="shared" si="1"/>
        <v>-7353.2086772271723</v>
      </c>
      <c r="Q17" s="25"/>
      <c r="R17" s="34">
        <f t="shared" si="2"/>
        <v>3290.7603499999968</v>
      </c>
      <c r="S17" s="34">
        <f t="shared" si="3"/>
        <v>467.54629518980357</v>
      </c>
      <c r="T17" s="34"/>
      <c r="U17" s="34">
        <f t="shared" si="4"/>
        <v>6290.7603499999968</v>
      </c>
      <c r="V17" s="34">
        <f t="shared" si="5"/>
        <v>244.57819474874776</v>
      </c>
      <c r="W17" s="34"/>
      <c r="X17" s="34">
        <f t="shared" si="6"/>
        <v>13290.760349999997</v>
      </c>
      <c r="Y17" s="34">
        <f t="shared" si="7"/>
        <v>115.76334005601119</v>
      </c>
      <c r="Z17" s="34"/>
      <c r="AA17" s="34">
        <f t="shared" si="8"/>
        <v>18290.760349999997</v>
      </c>
      <c r="AB17" s="34">
        <f t="shared" si="9"/>
        <v>84.118034491660708</v>
      </c>
      <c r="AC17" s="34"/>
      <c r="AD17" s="34">
        <f t="shared" si="10"/>
        <v>23290.760349999997</v>
      </c>
      <c r="AE17" s="34">
        <f t="shared" si="20"/>
        <v>66.05979310589575</v>
      </c>
      <c r="AF17" s="34"/>
      <c r="AG17" s="34">
        <f t="shared" si="11"/>
        <v>28290.760349999997</v>
      </c>
      <c r="AH17" s="34">
        <f t="shared" si="21"/>
        <v>54.384639753947084</v>
      </c>
      <c r="AI17" s="34"/>
      <c r="AJ17" s="34">
        <f t="shared" si="12"/>
        <v>31290.760349999997</v>
      </c>
      <c r="AK17" s="34">
        <f t="shared" si="22"/>
        <v>49.170515282796572</v>
      </c>
      <c r="AL17" s="34"/>
      <c r="AM17" s="34">
        <f t="shared" si="13"/>
        <v>32915.760349999997</v>
      </c>
      <c r="AN17" s="34">
        <f t="shared" si="23"/>
        <v>46.743043260733913</v>
      </c>
      <c r="AO17" s="25"/>
      <c r="AP17" s="34">
        <f t="shared" si="14"/>
        <v>38290.760349999997</v>
      </c>
      <c r="AQ17" s="34">
        <f t="shared" si="24"/>
        <v>40.181568502073368</v>
      </c>
      <c r="AR17" s="25"/>
    </row>
    <row r="18" spans="1:44" x14ac:dyDescent="0.35">
      <c r="Q18"/>
      <c r="T18"/>
      <c r="W18"/>
      <c r="Z18"/>
      <c r="AC18" s="50"/>
      <c r="AF18" s="50"/>
      <c r="AI18" s="50"/>
      <c r="AL18" s="50"/>
    </row>
    <row r="19" spans="1:44" hidden="1" x14ac:dyDescent="0.35">
      <c r="B19">
        <f t="shared" si="25"/>
        <v>1</v>
      </c>
      <c r="C19">
        <f t="shared" si="16"/>
        <v>1</v>
      </c>
      <c r="D19">
        <v>4458</v>
      </c>
      <c r="E19">
        <v>4605</v>
      </c>
      <c r="Q19"/>
      <c r="T19"/>
      <c r="W19"/>
      <c r="Z19"/>
      <c r="AC19" s="50"/>
      <c r="AF19" s="50"/>
      <c r="AI19" s="50"/>
      <c r="AL19" s="50"/>
    </row>
    <row r="20" spans="1:44" hidden="1" x14ac:dyDescent="0.35">
      <c r="B20">
        <f t="shared" si="25"/>
        <v>2</v>
      </c>
      <c r="C20">
        <f t="shared" si="16"/>
        <v>2</v>
      </c>
      <c r="D20">
        <v>4458</v>
      </c>
      <c r="E20">
        <v>4605</v>
      </c>
      <c r="Q20"/>
      <c r="T20"/>
      <c r="W20"/>
      <c r="Z20"/>
      <c r="AC20" s="50"/>
      <c r="AF20" s="50"/>
      <c r="AI20" s="50"/>
      <c r="AL20" s="50"/>
    </row>
    <row r="21" spans="1:44" hidden="1" x14ac:dyDescent="0.35">
      <c r="B21">
        <f t="shared" si="25"/>
        <v>3</v>
      </c>
      <c r="C21">
        <f t="shared" si="16"/>
        <v>3</v>
      </c>
      <c r="D21">
        <v>4458</v>
      </c>
      <c r="E21">
        <v>4605</v>
      </c>
      <c r="Q21"/>
      <c r="T21"/>
      <c r="W21"/>
      <c r="Z21"/>
      <c r="AC21" s="50"/>
      <c r="AF21" s="50"/>
      <c r="AI21" s="50"/>
      <c r="AL21" s="50"/>
    </row>
    <row r="22" spans="1:44" hidden="1" x14ac:dyDescent="0.35">
      <c r="B22">
        <f t="shared" si="25"/>
        <v>4</v>
      </c>
      <c r="C22">
        <f t="shared" si="16"/>
        <v>4</v>
      </c>
      <c r="D22">
        <v>4458</v>
      </c>
      <c r="E22">
        <v>4605</v>
      </c>
      <c r="Q22"/>
      <c r="T22"/>
      <c r="W22"/>
      <c r="Z22"/>
      <c r="AC22" s="50"/>
      <c r="AF22" s="50"/>
      <c r="AI22" s="50"/>
      <c r="AL22" s="50"/>
    </row>
    <row r="23" spans="1:44" hidden="1" x14ac:dyDescent="0.35">
      <c r="B23">
        <f t="shared" si="25"/>
        <v>5</v>
      </c>
      <c r="C23">
        <f t="shared" si="16"/>
        <v>5</v>
      </c>
      <c r="D23">
        <v>4458</v>
      </c>
      <c r="E23">
        <v>4605</v>
      </c>
      <c r="Q23"/>
      <c r="T23"/>
      <c r="W23"/>
      <c r="Z23"/>
      <c r="AC23" s="50"/>
      <c r="AF23" s="50"/>
      <c r="AI23" s="50"/>
      <c r="AL23" s="50"/>
    </row>
    <row r="24" spans="1:44" hidden="1" x14ac:dyDescent="0.35">
      <c r="B24">
        <f t="shared" si="25"/>
        <v>6</v>
      </c>
      <c r="C24">
        <f t="shared" si="16"/>
        <v>6</v>
      </c>
      <c r="D24">
        <v>4458</v>
      </c>
      <c r="E24">
        <v>4605</v>
      </c>
      <c r="Q24"/>
      <c r="T24"/>
      <c r="W24"/>
      <c r="Z24"/>
      <c r="AC24" s="50"/>
      <c r="AF24" s="50"/>
      <c r="AI24" s="50"/>
      <c r="AL24" s="50"/>
    </row>
    <row r="25" spans="1:44" hidden="1" x14ac:dyDescent="0.35">
      <c r="B25">
        <f t="shared" si="25"/>
        <v>7</v>
      </c>
      <c r="C25">
        <f t="shared" si="16"/>
        <v>7</v>
      </c>
      <c r="D25">
        <v>4458</v>
      </c>
      <c r="E25">
        <v>4605</v>
      </c>
      <c r="O25" t="s">
        <v>12</v>
      </c>
      <c r="Q25"/>
      <c r="T25"/>
      <c r="W25"/>
      <c r="Z25"/>
      <c r="AC25" s="50"/>
      <c r="AF25" s="50"/>
      <c r="AI25" s="50"/>
      <c r="AL25" s="50"/>
    </row>
    <row r="26" spans="1:44" x14ac:dyDescent="0.35">
      <c r="Q26"/>
      <c r="T26"/>
      <c r="W26"/>
      <c r="Z26"/>
      <c r="AC26" s="50"/>
      <c r="AF26" s="50"/>
      <c r="AI26" s="50"/>
      <c r="AL26" s="50"/>
    </row>
    <row r="27" spans="1:44" hidden="1" x14ac:dyDescent="0.35">
      <c r="B27">
        <f t="shared" si="25"/>
        <v>1</v>
      </c>
      <c r="C27">
        <f t="shared" si="16"/>
        <v>1</v>
      </c>
      <c r="D27">
        <v>4458</v>
      </c>
      <c r="E27">
        <v>4605</v>
      </c>
      <c r="Q27" s="16"/>
      <c r="T27" s="16"/>
      <c r="W27" s="16"/>
      <c r="Z27" s="16"/>
      <c r="AC27" s="16"/>
      <c r="AF27" s="16"/>
      <c r="AI27" s="16"/>
      <c r="AL27" s="16"/>
    </row>
    <row r="28" spans="1:44" hidden="1" x14ac:dyDescent="0.35">
      <c r="B28">
        <f t="shared" si="25"/>
        <v>2</v>
      </c>
      <c r="C28">
        <f t="shared" si="16"/>
        <v>2</v>
      </c>
      <c r="D28">
        <v>4458</v>
      </c>
      <c r="E28">
        <v>4605</v>
      </c>
      <c r="AC28" s="2"/>
      <c r="AF28" s="2"/>
      <c r="AI28" s="2"/>
      <c r="AL28" s="2"/>
    </row>
    <row r="29" spans="1:44" hidden="1" x14ac:dyDescent="0.35">
      <c r="B29">
        <f t="shared" si="25"/>
        <v>3</v>
      </c>
      <c r="C29">
        <f t="shared" si="16"/>
        <v>3</v>
      </c>
      <c r="D29">
        <v>4458</v>
      </c>
      <c r="E29">
        <v>4605</v>
      </c>
      <c r="AC29" s="2"/>
      <c r="AF29" s="2"/>
      <c r="AI29" s="2"/>
      <c r="AL29" s="2"/>
    </row>
    <row r="30" spans="1:44" hidden="1" x14ac:dyDescent="0.35">
      <c r="B30">
        <f t="shared" si="25"/>
        <v>4</v>
      </c>
      <c r="C30">
        <f t="shared" si="16"/>
        <v>4</v>
      </c>
      <c r="D30">
        <v>4458</v>
      </c>
      <c r="E30">
        <v>4605</v>
      </c>
      <c r="AC30" s="2"/>
      <c r="AF30" s="2"/>
      <c r="AI30" s="2"/>
      <c r="AL30" s="2"/>
    </row>
    <row r="31" spans="1:44" hidden="1" x14ac:dyDescent="0.35">
      <c r="B31">
        <f t="shared" si="25"/>
        <v>5</v>
      </c>
      <c r="C31">
        <f t="shared" si="16"/>
        <v>5</v>
      </c>
      <c r="D31">
        <v>4458</v>
      </c>
      <c r="E31">
        <v>4605</v>
      </c>
      <c r="AC31" s="2"/>
      <c r="AF31" s="2"/>
      <c r="AI31" s="2"/>
      <c r="AL31" s="2"/>
    </row>
    <row r="32" spans="1:44" hidden="1" x14ac:dyDescent="0.35">
      <c r="B32">
        <f t="shared" si="25"/>
        <v>6</v>
      </c>
      <c r="C32">
        <f t="shared" si="16"/>
        <v>6</v>
      </c>
      <c r="D32">
        <v>4458</v>
      </c>
      <c r="E32">
        <v>4605</v>
      </c>
      <c r="AC32" s="2"/>
      <c r="AF32" s="2"/>
      <c r="AI32" s="2"/>
      <c r="AL32" s="2"/>
    </row>
    <row r="33" spans="2:43" hidden="1" x14ac:dyDescent="0.35">
      <c r="B33">
        <f t="shared" si="25"/>
        <v>7</v>
      </c>
      <c r="C33">
        <f t="shared" si="16"/>
        <v>7</v>
      </c>
      <c r="D33">
        <v>4458</v>
      </c>
      <c r="E33">
        <v>4605</v>
      </c>
      <c r="AC33" s="2"/>
      <c r="AF33" s="2"/>
      <c r="AI33" s="2"/>
      <c r="AL33" s="2"/>
    </row>
    <row r="34" spans="2:43" hidden="1" x14ac:dyDescent="0.35">
      <c r="B34">
        <f t="shared" si="25"/>
        <v>8</v>
      </c>
      <c r="C34">
        <f t="shared" si="16"/>
        <v>8</v>
      </c>
      <c r="D34">
        <v>4458</v>
      </c>
      <c r="E34">
        <v>4605</v>
      </c>
      <c r="AC34" s="2"/>
      <c r="AF34" s="2"/>
      <c r="AI34" s="2"/>
      <c r="AL34" s="2"/>
    </row>
    <row r="35" spans="2:43" hidden="1" x14ac:dyDescent="0.35">
      <c r="B35">
        <f t="shared" si="25"/>
        <v>9</v>
      </c>
      <c r="C35">
        <f t="shared" si="16"/>
        <v>9</v>
      </c>
      <c r="D35">
        <v>4458</v>
      </c>
      <c r="E35">
        <v>4605</v>
      </c>
      <c r="AC35" s="2"/>
      <c r="AF35" s="2"/>
      <c r="AI35" s="2"/>
      <c r="AL35" s="2"/>
    </row>
    <row r="36" spans="2:43" hidden="1" x14ac:dyDescent="0.35">
      <c r="B36">
        <f t="shared" si="25"/>
        <v>10</v>
      </c>
      <c r="C36">
        <f t="shared" si="16"/>
        <v>10</v>
      </c>
      <c r="D36">
        <v>4458</v>
      </c>
      <c r="E36">
        <v>4605</v>
      </c>
      <c r="AC36" s="2"/>
      <c r="AF36" s="2"/>
      <c r="AI36" s="2"/>
      <c r="AL36" s="2"/>
    </row>
    <row r="37" spans="2:43" hidden="1" x14ac:dyDescent="0.35">
      <c r="B37">
        <f t="shared" si="25"/>
        <v>11</v>
      </c>
      <c r="C37">
        <f t="shared" si="16"/>
        <v>11</v>
      </c>
      <c r="D37">
        <v>4458</v>
      </c>
      <c r="E37">
        <v>4605</v>
      </c>
      <c r="AC37" s="2"/>
      <c r="AF37" s="2"/>
      <c r="AI37" s="2"/>
      <c r="AL37" s="2"/>
    </row>
    <row r="38" spans="2:43" hidden="1" x14ac:dyDescent="0.35">
      <c r="B38">
        <f t="shared" si="25"/>
        <v>12</v>
      </c>
      <c r="C38">
        <f t="shared" si="16"/>
        <v>12</v>
      </c>
      <c r="D38">
        <v>4458</v>
      </c>
      <c r="E38">
        <v>4605</v>
      </c>
      <c r="AC38" s="2"/>
      <c r="AF38" s="2"/>
      <c r="AI38" s="2"/>
      <c r="AL38" s="2"/>
    </row>
    <row r="39" spans="2:43" hidden="1" x14ac:dyDescent="0.35">
      <c r="B39">
        <f t="shared" si="25"/>
        <v>13</v>
      </c>
      <c r="C39">
        <f t="shared" si="16"/>
        <v>13</v>
      </c>
      <c r="D39">
        <v>4458</v>
      </c>
      <c r="E39">
        <v>4605</v>
      </c>
      <c r="AC39" s="2"/>
      <c r="AF39" s="2"/>
      <c r="AI39" s="2"/>
      <c r="AL39" s="2"/>
    </row>
    <row r="40" spans="2:43" hidden="1" x14ac:dyDescent="0.35">
      <c r="B40">
        <f t="shared" si="25"/>
        <v>14</v>
      </c>
      <c r="C40">
        <f t="shared" si="16"/>
        <v>14</v>
      </c>
      <c r="D40">
        <v>4458</v>
      </c>
      <c r="E40">
        <v>4605</v>
      </c>
      <c r="AC40" s="2"/>
      <c r="AF40" s="2"/>
      <c r="AI40" s="2"/>
      <c r="AL40" s="2"/>
    </row>
    <row r="41" spans="2:43" hidden="1" x14ac:dyDescent="0.35">
      <c r="B41">
        <f t="shared" si="25"/>
        <v>15</v>
      </c>
      <c r="C41">
        <f t="shared" si="16"/>
        <v>15</v>
      </c>
      <c r="D41">
        <v>4458</v>
      </c>
      <c r="E41">
        <v>4605</v>
      </c>
      <c r="AC41" s="2"/>
      <c r="AF41" s="2"/>
      <c r="AI41" s="2"/>
      <c r="AL41" s="2"/>
    </row>
    <row r="42" spans="2:43" x14ac:dyDescent="0.35">
      <c r="J42" s="44" t="s">
        <v>167</v>
      </c>
      <c r="O42" s="7">
        <f>O11/0.04</f>
        <v>839869.00874999992</v>
      </c>
      <c r="P42" s="7"/>
      <c r="Q42" s="7"/>
      <c r="R42" s="7">
        <f>R11/$H51</f>
        <v>927369.00874999992</v>
      </c>
      <c r="S42" s="7"/>
      <c r="T42" s="7"/>
      <c r="U42" s="7">
        <f>U11/$H51</f>
        <v>1002369.0087499999</v>
      </c>
      <c r="V42" s="7"/>
      <c r="W42" s="7"/>
      <c r="X42" s="7">
        <f>X11/$H51</f>
        <v>1177369.0087499998</v>
      </c>
      <c r="Y42" s="7"/>
      <c r="Z42" s="7"/>
      <c r="AA42" s="7">
        <f>AA11/$H51</f>
        <v>1302369.0087499998</v>
      </c>
      <c r="AB42" s="7"/>
      <c r="AC42" s="7"/>
      <c r="AD42" s="7">
        <f>AD11/$H51</f>
        <v>1427369.0087499998</v>
      </c>
      <c r="AE42" s="7"/>
      <c r="AF42" s="7"/>
      <c r="AG42" s="7">
        <f>AG11/$H51</f>
        <v>1552369.0087499998</v>
      </c>
      <c r="AH42" s="7"/>
      <c r="AI42" s="7"/>
      <c r="AJ42" s="7">
        <f>AJ11/$H51</f>
        <v>1627369.0087499998</v>
      </c>
      <c r="AK42" s="7"/>
      <c r="AL42" s="7"/>
      <c r="AM42" s="7">
        <f>AM11/$H51</f>
        <v>1667994.0087499998</v>
      </c>
      <c r="AN42" s="7"/>
      <c r="AP42" s="7">
        <f>AP11/$H51</f>
        <v>1802369.0087499998</v>
      </c>
      <c r="AQ42" s="7"/>
    </row>
    <row r="43" spans="2:43" x14ac:dyDescent="0.35">
      <c r="Q43"/>
      <c r="T43"/>
      <c r="W43"/>
      <c r="Z43"/>
    </row>
    <row r="44" spans="2:43" ht="14.5" customHeight="1" x14ac:dyDescent="0.35">
      <c r="F44" s="4"/>
      <c r="G44" s="4"/>
      <c r="H44" s="4"/>
      <c r="I44" s="4"/>
      <c r="J44" s="268" t="s">
        <v>19</v>
      </c>
      <c r="K44" s="268"/>
      <c r="L44" s="7">
        <v>14000</v>
      </c>
      <c r="O44" s="4"/>
      <c r="P44" s="4"/>
      <c r="Q44" s="4"/>
      <c r="R44" s="4"/>
      <c r="S44" s="4"/>
      <c r="T44" s="4"/>
      <c r="W44"/>
      <c r="X44" s="18"/>
      <c r="Z44"/>
    </row>
    <row r="45" spans="2:43" x14ac:dyDescent="0.35">
      <c r="J45" s="269" t="s">
        <v>20</v>
      </c>
      <c r="K45" s="269"/>
      <c r="L45" s="7">
        <v>15000</v>
      </c>
      <c r="Q45"/>
      <c r="T45"/>
      <c r="W45"/>
      <c r="Z45"/>
    </row>
    <row r="46" spans="2:43" x14ac:dyDescent="0.35">
      <c r="J46" s="269"/>
      <c r="K46" s="269"/>
      <c r="L46" s="7"/>
      <c r="Q46"/>
      <c r="T46"/>
      <c r="W46"/>
      <c r="Z46"/>
    </row>
    <row r="47" spans="2:43" x14ac:dyDescent="0.35">
      <c r="L47" s="7"/>
      <c r="Q47"/>
      <c r="T47"/>
      <c r="W47"/>
      <c r="Z47"/>
    </row>
    <row r="48" spans="2:43" x14ac:dyDescent="0.35">
      <c r="L48" s="7"/>
      <c r="Q48"/>
      <c r="T48"/>
      <c r="W48"/>
      <c r="Z48"/>
    </row>
    <row r="49" spans="1:26" x14ac:dyDescent="0.35">
      <c r="B49" s="267" t="s">
        <v>36</v>
      </c>
      <c r="C49" s="267"/>
      <c r="Q49"/>
      <c r="T49"/>
      <c r="W49"/>
      <c r="Z49"/>
    </row>
    <row r="50" spans="1:26" x14ac:dyDescent="0.35">
      <c r="B50" t="s">
        <v>2</v>
      </c>
      <c r="C50" s="9">
        <v>45658</v>
      </c>
      <c r="J50" t="s">
        <v>23</v>
      </c>
      <c r="L50" s="7">
        <f>[0]!CURRENT_401K</f>
        <v>1538582.8099999998</v>
      </c>
      <c r="Q50"/>
      <c r="T50" s="270"/>
      <c r="U50" s="270"/>
      <c r="W50"/>
      <c r="Z50"/>
    </row>
    <row r="51" spans="1:26" x14ac:dyDescent="0.35">
      <c r="B51" t="s">
        <v>18</v>
      </c>
      <c r="C51" s="9">
        <v>45669</v>
      </c>
      <c r="F51" s="1"/>
      <c r="G51" s="98" t="s">
        <v>39</v>
      </c>
      <c r="H51" s="48">
        <v>0.04</v>
      </c>
      <c r="J51" t="s">
        <v>40</v>
      </c>
      <c r="L51" s="21">
        <f>L50*H51</f>
        <v>61543.312399999995</v>
      </c>
      <c r="N51" s="7"/>
      <c r="Q51"/>
      <c r="T51"/>
      <c r="W51"/>
      <c r="Z51"/>
    </row>
    <row r="52" spans="1:26" x14ac:dyDescent="0.35">
      <c r="F52" s="1"/>
      <c r="J52" s="1" t="s">
        <v>25</v>
      </c>
      <c r="L52" s="7">
        <f>L50*0.03</f>
        <v>46157.484299999996</v>
      </c>
      <c r="M52" s="7"/>
      <c r="N52" s="7"/>
      <c r="O52" s="7"/>
      <c r="Q52"/>
      <c r="T52"/>
      <c r="W52"/>
      <c r="Z52"/>
    </row>
    <row r="53" spans="1:26" x14ac:dyDescent="0.35">
      <c r="F53" s="1"/>
      <c r="J53" s="1" t="s">
        <v>26</v>
      </c>
      <c r="L53" s="7">
        <f>L50*0.05</f>
        <v>76929.140499999994</v>
      </c>
      <c r="M53" s="7"/>
      <c r="N53" s="7"/>
      <c r="O53" s="7"/>
      <c r="Q53"/>
      <c r="T53"/>
      <c r="W53"/>
      <c r="Z53"/>
    </row>
    <row r="54" spans="1:26" x14ac:dyDescent="0.35">
      <c r="L54" s="7"/>
      <c r="M54" s="73" t="s">
        <v>123</v>
      </c>
      <c r="N54" t="s">
        <v>426</v>
      </c>
      <c r="P54" s="117">
        <f>0.045*nationwide</f>
        <v>18736.1973</v>
      </c>
      <c r="Q54" s="117"/>
      <c r="R54" s="117"/>
      <c r="S54" s="117">
        <f>0.045*curr_annuity_base</f>
        <v>15977.23965</v>
      </c>
      <c r="T54" s="117"/>
      <c r="V54" s="117"/>
      <c r="W54" s="117"/>
      <c r="Z54"/>
    </row>
    <row r="55" spans="1:26" x14ac:dyDescent="0.35">
      <c r="J55" t="s">
        <v>9</v>
      </c>
      <c r="L55" s="7">
        <f>0.045*curr_annuity_base</f>
        <v>15977.23965</v>
      </c>
      <c r="M55" s="73" t="s">
        <v>124</v>
      </c>
      <c r="N55" t="s">
        <v>428</v>
      </c>
      <c r="P55" s="117">
        <f>0.054*curr_annuity_base</f>
        <v>19172.687580000002</v>
      </c>
      <c r="Q55"/>
      <c r="S55" s="117">
        <f>0.045*curr_annuity_base</f>
        <v>15977.23965</v>
      </c>
      <c r="T55" s="128"/>
      <c r="V55" s="117"/>
      <c r="W55" s="128"/>
      <c r="Z55"/>
    </row>
    <row r="56" spans="1:26" x14ac:dyDescent="0.35">
      <c r="M56" s="1" t="s">
        <v>125</v>
      </c>
      <c r="N56" t="s">
        <v>422</v>
      </c>
      <c r="P56" s="117">
        <f>0.054*420150</f>
        <v>22688.1</v>
      </c>
      <c r="Q56"/>
      <c r="S56" s="117">
        <f>guarantee_annuity</f>
        <v>22599</v>
      </c>
      <c r="T56" s="128"/>
      <c r="V56" s="117"/>
      <c r="W56" s="128"/>
      <c r="Z56"/>
    </row>
    <row r="57" spans="1:26" x14ac:dyDescent="0.35">
      <c r="J57" s="267" t="s">
        <v>31</v>
      </c>
      <c r="K57" s="267"/>
      <c r="L57" s="35">
        <f>L51/12</f>
        <v>5128.6093666666666</v>
      </c>
      <c r="M57" s="1"/>
      <c r="T57" s="128"/>
      <c r="W57" s="128"/>
      <c r="Z57"/>
    </row>
    <row r="58" spans="1:26" x14ac:dyDescent="0.35">
      <c r="J58" s="267" t="s">
        <v>32</v>
      </c>
      <c r="K58" s="267"/>
      <c r="L58" s="35">
        <f>J9/12</f>
        <v>6392</v>
      </c>
      <c r="Q58"/>
      <c r="T58" s="128"/>
      <c r="W58" s="128"/>
      <c r="Z58"/>
    </row>
    <row r="59" spans="1:26" ht="15" thickBot="1" x14ac:dyDescent="0.4">
      <c r="J59" s="271" t="s">
        <v>33</v>
      </c>
      <c r="K59" s="271"/>
      <c r="L59" s="142">
        <f>L55/12</f>
        <v>1331.4366375</v>
      </c>
      <c r="Q59"/>
      <c r="T59" s="128"/>
      <c r="W59" s="128"/>
      <c r="Z59"/>
    </row>
    <row r="60" spans="1:26" x14ac:dyDescent="0.35">
      <c r="J60" s="41" t="s">
        <v>35</v>
      </c>
      <c r="L60" s="35">
        <f>SUM(L57:L59)</f>
        <v>12852.046004166667</v>
      </c>
      <c r="Q60"/>
      <c r="S60" s="41"/>
      <c r="T60" s="128"/>
      <c r="V60" s="41"/>
      <c r="W60" s="128"/>
      <c r="Z60"/>
    </row>
    <row r="61" spans="1:26" x14ac:dyDescent="0.35">
      <c r="Q61"/>
      <c r="T61" s="128"/>
      <c r="W61" s="128"/>
      <c r="Z61"/>
    </row>
    <row r="62" spans="1:26" x14ac:dyDescent="0.35">
      <c r="J62" t="s">
        <v>34</v>
      </c>
      <c r="L62" s="35">
        <f>L60*12</f>
        <v>154224.55205</v>
      </c>
      <c r="Q62"/>
      <c r="T62" s="128"/>
      <c r="W62" s="128"/>
      <c r="Z62"/>
    </row>
    <row r="63" spans="1:26" x14ac:dyDescent="0.35">
      <c r="A63" t="s">
        <v>388</v>
      </c>
      <c r="B63">
        <f>(3367+3377)*12</f>
        <v>80928</v>
      </c>
      <c r="Q63"/>
      <c r="T63"/>
      <c r="W63"/>
      <c r="Z63"/>
    </row>
    <row r="64" spans="1:26" x14ac:dyDescent="0.35">
      <c r="A64" t="s">
        <v>9</v>
      </c>
      <c r="B64" s="7">
        <f>B63+L55</f>
        <v>96905.239650000003</v>
      </c>
      <c r="Q64"/>
      <c r="T64"/>
      <c r="W64"/>
      <c r="Z64"/>
    </row>
    <row r="65" spans="1:26" x14ac:dyDescent="0.35">
      <c r="Q65"/>
      <c r="T65"/>
      <c r="W65"/>
      <c r="Z65"/>
    </row>
    <row r="66" spans="1:26" x14ac:dyDescent="0.35">
      <c r="Q66"/>
      <c r="T66"/>
      <c r="W66"/>
      <c r="Z66"/>
    </row>
    <row r="67" spans="1:26" x14ac:dyDescent="0.35">
      <c r="Q67"/>
      <c r="T67"/>
      <c r="W67"/>
      <c r="Z67"/>
    </row>
    <row r="68" spans="1:26" x14ac:dyDescent="0.35">
      <c r="A68" t="s">
        <v>425</v>
      </c>
      <c r="Q68"/>
      <c r="R68" s="5"/>
      <c r="T68"/>
      <c r="W68"/>
      <c r="Z68"/>
    </row>
    <row r="69" spans="1:26" x14ac:dyDescent="0.35">
      <c r="P69" s="41"/>
      <c r="Q69"/>
      <c r="R69" s="5"/>
      <c r="S69" s="5"/>
      <c r="T69"/>
      <c r="W69"/>
      <c r="Z69"/>
    </row>
    <row r="70" spans="1:26" x14ac:dyDescent="0.35">
      <c r="P70" s="41"/>
      <c r="Q70"/>
      <c r="R70" s="5"/>
      <c r="S70" s="5"/>
      <c r="T70"/>
      <c r="W70"/>
      <c r="Z70"/>
    </row>
    <row r="71" spans="1:26" x14ac:dyDescent="0.35">
      <c r="P71" s="41"/>
      <c r="Q71"/>
      <c r="R71" s="5"/>
      <c r="S71" s="5"/>
      <c r="T71"/>
      <c r="W71"/>
      <c r="Z71"/>
    </row>
    <row r="72" spans="1:26" x14ac:dyDescent="0.35">
      <c r="P72" s="41"/>
      <c r="Q72"/>
      <c r="R72" s="5"/>
      <c r="S72" s="5"/>
      <c r="T72"/>
      <c r="W72"/>
      <c r="Z72"/>
    </row>
    <row r="73" spans="1:26" x14ac:dyDescent="0.35">
      <c r="Q73"/>
      <c r="R73" s="5"/>
      <c r="T73"/>
      <c r="W73"/>
      <c r="Z73"/>
    </row>
    <row r="74" spans="1:26" x14ac:dyDescent="0.35">
      <c r="Q74"/>
      <c r="T74"/>
      <c r="W74"/>
      <c r="Z74"/>
    </row>
    <row r="75" spans="1:26" x14ac:dyDescent="0.35">
      <c r="Q75"/>
      <c r="T75"/>
      <c r="W75"/>
      <c r="Z75"/>
    </row>
    <row r="76" spans="1:26" x14ac:dyDescent="0.35">
      <c r="Q76"/>
      <c r="T76"/>
      <c r="W76"/>
      <c r="Z76"/>
    </row>
    <row r="77" spans="1:26" x14ac:dyDescent="0.35">
      <c r="Q77"/>
      <c r="T77"/>
      <c r="W77"/>
      <c r="Z77"/>
    </row>
    <row r="78" spans="1:26" x14ac:dyDescent="0.35">
      <c r="Q78"/>
      <c r="T78"/>
      <c r="W78"/>
      <c r="Z78"/>
    </row>
    <row r="79" spans="1:26" x14ac:dyDescent="0.35">
      <c r="Q79"/>
      <c r="T79"/>
      <c r="W79"/>
      <c r="Z79"/>
    </row>
    <row r="80" spans="1:26" x14ac:dyDescent="0.35">
      <c r="Q80"/>
      <c r="T80"/>
      <c r="W80"/>
      <c r="Z80"/>
    </row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</sheetData>
  <sheetProtection selectLockedCells="1"/>
  <mergeCells count="8">
    <mergeCell ref="J46:K46"/>
    <mergeCell ref="J44:K44"/>
    <mergeCell ref="J45:K45"/>
    <mergeCell ref="T50:U50"/>
    <mergeCell ref="B49:C49"/>
    <mergeCell ref="J57:K57"/>
    <mergeCell ref="J58:K58"/>
    <mergeCell ref="J59:K59"/>
  </mergeCells>
  <pageMargins left="0.7" right="0.7" top="0.75" bottom="0.75" header="0.3" footer="0.3"/>
  <pageSetup scale="35" fitToHeight="0" orientation="landscape" r:id="rId1"/>
  <ignoredErrors>
    <ignoredError sqref="L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4AFFE-3BF9-40E8-94F5-CC24B6A7CAFC}">
  <sheetPr codeName="Sheet3"/>
  <dimension ref="A1:JM48"/>
  <sheetViews>
    <sheetView workbookViewId="0">
      <selection activeCell="JM4" sqref="JM4"/>
    </sheetView>
  </sheetViews>
  <sheetFormatPr defaultRowHeight="14.5" x14ac:dyDescent="0.35"/>
  <cols>
    <col min="2" max="2" width="11" customWidth="1"/>
    <col min="3" max="17" width="9.453125" hidden="1" customWidth="1"/>
    <col min="18" max="18" width="8.90625" hidden="1" customWidth="1"/>
    <col min="19" max="19" width="16.90625" customWidth="1"/>
    <col min="20" max="29" width="8.90625" hidden="1" customWidth="1"/>
    <col min="30" max="30" width="9.08984375" hidden="1" customWidth="1"/>
    <col min="31" max="45" width="8.90625" hidden="1" customWidth="1"/>
    <col min="46" max="46" width="8.90625" customWidth="1"/>
    <col min="47" max="47" width="9.36328125" hidden="1" customWidth="1"/>
    <col min="48" max="50" width="8.90625" hidden="1" customWidth="1"/>
    <col min="51" max="51" width="9.6328125" hidden="1" customWidth="1"/>
    <col min="52" max="66" width="8.90625" hidden="1" customWidth="1"/>
    <col min="67" max="67" width="9.36328125" hidden="1" customWidth="1"/>
    <col min="68" max="68" width="8.90625" customWidth="1"/>
    <col min="69" max="72" width="8.90625" hidden="1" customWidth="1"/>
    <col min="73" max="73" width="9.81640625" hidden="1" customWidth="1"/>
    <col min="74" max="90" width="8.90625" hidden="1" customWidth="1"/>
    <col min="91" max="91" width="8.90625" customWidth="1"/>
    <col min="92" max="105" width="8.90625" hidden="1" customWidth="1"/>
    <col min="106" max="106" width="8.90625" customWidth="1"/>
    <col min="107" max="125" width="8.90625" hidden="1" customWidth="1"/>
    <col min="126" max="126" width="8.90625" customWidth="1"/>
    <col min="127" max="136" width="8.90625" hidden="1" customWidth="1"/>
    <col min="137" max="139" width="9" hidden="1" customWidth="1"/>
    <col min="140" max="140" width="8.90625" hidden="1" customWidth="1"/>
    <col min="141" max="141" width="8.7265625" customWidth="1"/>
    <col min="142" max="142" width="9.36328125" hidden="1" customWidth="1"/>
    <col min="143" max="145" width="8.7265625" hidden="1" customWidth="1"/>
    <col min="146" max="146" width="0" hidden="1" customWidth="1"/>
    <col min="147" max="147" width="8.7265625" hidden="1" customWidth="1"/>
    <col min="148" max="149" width="8.90625" hidden="1" customWidth="1"/>
    <col min="150" max="155" width="8.7265625" hidden="1" customWidth="1"/>
    <col min="156" max="156" width="8.90625" hidden="1" customWidth="1"/>
    <col min="157" max="159" width="8.7265625" hidden="1" customWidth="1"/>
    <col min="160" max="161" width="8.90625" hidden="1" customWidth="1"/>
    <col min="162" max="162" width="8.7265625" customWidth="1"/>
    <col min="163" max="163" width="8.7265625" hidden="1" customWidth="1"/>
    <col min="164" max="164" width="0" hidden="1" customWidth="1"/>
    <col min="165" max="165" width="8.90625" hidden="1" customWidth="1"/>
    <col min="166" max="167" width="8.7265625" hidden="1" customWidth="1"/>
    <col min="168" max="172" width="8.90625" hidden="1" customWidth="1"/>
    <col min="173" max="177" width="8.7265625" hidden="1" customWidth="1"/>
    <col min="178" max="179" width="8.90625" hidden="1" customWidth="1"/>
    <col min="180" max="180" width="8.7265625" customWidth="1"/>
    <col min="181" max="181" width="8.90625" hidden="1" customWidth="1"/>
    <col min="182" max="184" width="8.7265625" hidden="1" customWidth="1"/>
    <col min="185" max="185" width="0" hidden="1" customWidth="1"/>
    <col min="186" max="193" width="8.7265625" hidden="1" customWidth="1"/>
    <col min="194" max="196" width="8.90625" hidden="1" customWidth="1"/>
    <col min="197" max="199" width="8.7265625" hidden="1" customWidth="1"/>
    <col min="200" max="200" width="8.7265625" customWidth="1"/>
    <col min="201" max="203" width="8.7265625" hidden="1" customWidth="1"/>
    <col min="204" max="204" width="0" hidden="1" customWidth="1"/>
    <col min="205" max="207" width="8.7265625" hidden="1" customWidth="1"/>
    <col min="208" max="208" width="0" hidden="1" customWidth="1"/>
    <col min="209" max="212" width="8.7265625" hidden="1" customWidth="1"/>
    <col min="213" max="213" width="0" hidden="1" customWidth="1"/>
    <col min="214" max="214" width="8.90625" hidden="1" customWidth="1"/>
    <col min="215" max="217" width="8.7265625" hidden="1" customWidth="1"/>
    <col min="219" max="223" width="8.7265625" hidden="1" customWidth="1"/>
    <col min="224" max="224" width="0" hidden="1" customWidth="1"/>
    <col min="225" max="228" width="8.7265625" hidden="1" customWidth="1"/>
    <col min="229" max="244" width="0" hidden="1" customWidth="1"/>
    <col min="246" max="247" width="8.90625" hidden="1" customWidth="1"/>
    <col min="248" max="249" width="9.26953125" hidden="1" customWidth="1"/>
    <col min="250" max="250" width="8.90625" customWidth="1"/>
    <col min="251" max="251" width="8.90625" hidden="1" customWidth="1"/>
    <col min="252" max="254" width="8.7265625" hidden="1" customWidth="1"/>
    <col min="255" max="255" width="9.26953125" customWidth="1"/>
    <col min="256" max="257" width="8.7265625" hidden="1" customWidth="1"/>
    <col min="258" max="258" width="8.7265625" customWidth="1"/>
    <col min="259" max="260" width="8.90625" hidden="1" customWidth="1"/>
    <col min="261" max="262" width="8.7265625" hidden="1" customWidth="1"/>
    <col min="263" max="263" width="9.26953125" customWidth="1"/>
    <col min="264" max="265" width="8.7265625" hidden="1" customWidth="1"/>
    <col min="266" max="267" width="8.90625" hidden="1" customWidth="1"/>
    <col min="268" max="268" width="8.90625" customWidth="1"/>
    <col min="269" max="270" width="8.90625" bestFit="1" customWidth="1"/>
  </cols>
  <sheetData>
    <row r="1" spans="1:273" x14ac:dyDescent="0.35">
      <c r="B1" s="13"/>
      <c r="C1" s="13">
        <v>20241217</v>
      </c>
      <c r="D1" s="17">
        <v>20241220</v>
      </c>
      <c r="E1" s="17">
        <v>20241222</v>
      </c>
      <c r="F1" s="13">
        <v>20241230</v>
      </c>
      <c r="G1" s="13">
        <v>20241231</v>
      </c>
      <c r="H1" s="13">
        <v>20250101</v>
      </c>
      <c r="I1" s="13">
        <v>20250102</v>
      </c>
      <c r="J1" s="13">
        <v>20250105</v>
      </c>
      <c r="K1" s="13">
        <v>20250107</v>
      </c>
      <c r="L1" s="13">
        <v>20250109</v>
      </c>
      <c r="M1" s="13">
        <v>20250110</v>
      </c>
      <c r="N1" s="13">
        <v>20250111</v>
      </c>
      <c r="O1" s="13">
        <v>20250115</v>
      </c>
      <c r="P1" s="13">
        <v>20250116</v>
      </c>
      <c r="Q1" s="13">
        <v>20250117</v>
      </c>
      <c r="R1" s="13">
        <v>20240118</v>
      </c>
      <c r="S1" s="225" t="s">
        <v>29</v>
      </c>
      <c r="T1" s="13">
        <v>20250121</v>
      </c>
      <c r="U1" s="13">
        <v>20250123</v>
      </c>
      <c r="V1" s="13">
        <v>20250124</v>
      </c>
      <c r="W1" s="13">
        <v>20250127</v>
      </c>
      <c r="X1" s="13">
        <v>20250128</v>
      </c>
      <c r="Y1" s="13">
        <v>20250129</v>
      </c>
      <c r="Z1" s="225">
        <v>20250201</v>
      </c>
      <c r="AA1" s="13">
        <v>20250203</v>
      </c>
      <c r="AB1" s="13">
        <v>20250205</v>
      </c>
      <c r="AC1" s="13">
        <v>20250206</v>
      </c>
      <c r="AD1" s="13">
        <v>20250207</v>
      </c>
      <c r="AE1" s="13">
        <v>20250208</v>
      </c>
      <c r="AF1" s="13">
        <v>20250210</v>
      </c>
      <c r="AG1" s="13">
        <v>20250213</v>
      </c>
      <c r="AH1" s="13">
        <v>20250214</v>
      </c>
      <c r="AI1" s="13">
        <v>20250215</v>
      </c>
      <c r="AJ1" s="13">
        <v>20250218</v>
      </c>
      <c r="AK1" s="13">
        <v>20250219</v>
      </c>
      <c r="AL1" s="13">
        <v>20250220</v>
      </c>
      <c r="AM1" s="13">
        <v>20250221</v>
      </c>
      <c r="AN1" s="13">
        <v>20250222</v>
      </c>
      <c r="AO1" s="13">
        <v>20250224</v>
      </c>
      <c r="AP1" s="13">
        <v>20250225</v>
      </c>
      <c r="AQ1" s="13">
        <v>20250226</v>
      </c>
      <c r="AR1" s="13">
        <v>20250227</v>
      </c>
      <c r="AS1" s="13">
        <v>20250228</v>
      </c>
      <c r="AT1" s="225">
        <v>20250301</v>
      </c>
      <c r="AU1" s="13">
        <v>20250303</v>
      </c>
      <c r="AV1" s="13">
        <v>20250304</v>
      </c>
      <c r="AW1" s="13">
        <v>20250305</v>
      </c>
      <c r="AX1" s="13">
        <v>20250306</v>
      </c>
      <c r="AY1" s="13">
        <v>20250307</v>
      </c>
      <c r="AZ1" s="13">
        <v>20250308</v>
      </c>
      <c r="BA1" s="13">
        <v>20250311</v>
      </c>
      <c r="BB1" s="13">
        <v>20250312</v>
      </c>
      <c r="BC1" s="13">
        <v>20250313</v>
      </c>
      <c r="BD1" s="13">
        <v>20250314</v>
      </c>
      <c r="BE1" s="13">
        <v>20250317</v>
      </c>
      <c r="BF1" s="13">
        <v>20250318</v>
      </c>
      <c r="BG1" s="13">
        <v>20250319</v>
      </c>
      <c r="BH1" s="13">
        <v>20250320</v>
      </c>
      <c r="BI1" s="13">
        <v>20250321</v>
      </c>
      <c r="BJ1" s="13">
        <v>20250324</v>
      </c>
      <c r="BK1" s="13">
        <v>20250325</v>
      </c>
      <c r="BL1" s="13">
        <v>20250326</v>
      </c>
      <c r="BM1" s="13">
        <v>20250327</v>
      </c>
      <c r="BN1" s="13">
        <v>20250328</v>
      </c>
      <c r="BO1" s="13">
        <v>20250331</v>
      </c>
      <c r="BP1" s="225">
        <v>20250401</v>
      </c>
      <c r="BQ1" s="13">
        <v>20250402</v>
      </c>
      <c r="BR1" s="13">
        <v>20250403</v>
      </c>
      <c r="BS1" s="13">
        <v>20250404</v>
      </c>
      <c r="BT1" s="13">
        <v>20250407</v>
      </c>
      <c r="BU1" s="13">
        <v>20250408</v>
      </c>
      <c r="BV1" s="13">
        <v>20250409</v>
      </c>
      <c r="BW1" s="13">
        <v>20250410</v>
      </c>
      <c r="BX1" s="13">
        <v>20250411</v>
      </c>
      <c r="BY1" s="13">
        <v>20250412</v>
      </c>
      <c r="BZ1" s="13">
        <v>20250414</v>
      </c>
      <c r="CA1" s="13">
        <v>20250415</v>
      </c>
      <c r="CB1" s="13">
        <v>20250416</v>
      </c>
      <c r="CC1" s="13">
        <v>20250417</v>
      </c>
      <c r="CD1" s="13">
        <v>20250418</v>
      </c>
      <c r="CE1" s="13">
        <v>20250421</v>
      </c>
      <c r="CF1" s="13">
        <v>20250422</v>
      </c>
      <c r="CG1" s="13">
        <v>20250423</v>
      </c>
      <c r="CH1" s="13">
        <v>20250424</v>
      </c>
      <c r="CI1" s="13">
        <v>20250425</v>
      </c>
      <c r="CJ1" s="13">
        <v>20250428</v>
      </c>
      <c r="CK1" s="13">
        <v>20250429</v>
      </c>
      <c r="CL1" s="13">
        <v>20250430</v>
      </c>
      <c r="CM1" s="225">
        <v>20250501</v>
      </c>
      <c r="CN1" s="13">
        <v>20250502</v>
      </c>
      <c r="CO1" s="13">
        <v>20250505</v>
      </c>
      <c r="CP1" s="13">
        <v>20250506</v>
      </c>
      <c r="CQ1" s="13">
        <v>20250507</v>
      </c>
      <c r="CR1" s="13">
        <v>20250508</v>
      </c>
      <c r="CS1" s="13">
        <v>20250509</v>
      </c>
      <c r="CT1" s="13">
        <v>20250512</v>
      </c>
      <c r="CU1" s="13">
        <v>20250513</v>
      </c>
      <c r="CV1" s="13">
        <v>20250514</v>
      </c>
      <c r="CW1" s="13">
        <v>20250515</v>
      </c>
      <c r="CX1" s="13">
        <v>20250522</v>
      </c>
      <c r="CY1" s="13">
        <v>20250527</v>
      </c>
      <c r="CZ1" s="13">
        <v>20250528</v>
      </c>
      <c r="DA1" s="13">
        <v>20250529</v>
      </c>
      <c r="DB1" s="225">
        <v>20250530</v>
      </c>
      <c r="DC1" s="13">
        <v>20250602</v>
      </c>
      <c r="DD1" s="13">
        <v>20250603</v>
      </c>
      <c r="DE1" s="13">
        <v>20250604</v>
      </c>
      <c r="DF1" s="13">
        <v>20250605</v>
      </c>
      <c r="DG1" s="13">
        <v>20250606</v>
      </c>
      <c r="DH1" s="13">
        <v>20250609</v>
      </c>
      <c r="DI1" s="13">
        <v>20250610</v>
      </c>
      <c r="DJ1" s="13">
        <v>20250611</v>
      </c>
      <c r="DK1" s="13">
        <v>20250612</v>
      </c>
      <c r="DL1" s="13">
        <v>20250613</v>
      </c>
      <c r="DM1" s="13">
        <v>20250616</v>
      </c>
      <c r="DN1" s="13">
        <v>20250617</v>
      </c>
      <c r="DO1" s="13">
        <v>20250618</v>
      </c>
      <c r="DP1" s="13">
        <v>20250620</v>
      </c>
      <c r="DQ1" s="13">
        <v>20250623</v>
      </c>
      <c r="DR1" s="13">
        <v>20250624</v>
      </c>
      <c r="DS1" s="13">
        <v>20250625</v>
      </c>
      <c r="DT1" s="13">
        <v>20250626</v>
      </c>
      <c r="DU1" s="13">
        <v>20250627</v>
      </c>
      <c r="DV1" s="225">
        <v>20250630</v>
      </c>
      <c r="DW1" s="13">
        <v>20250714</v>
      </c>
      <c r="DX1" s="13">
        <v>20250715</v>
      </c>
      <c r="DY1" s="13">
        <v>20250716</v>
      </c>
      <c r="DZ1" s="13">
        <v>20250717</v>
      </c>
      <c r="EA1" s="13">
        <v>20250718</v>
      </c>
      <c r="EB1" s="13">
        <v>20250721</v>
      </c>
      <c r="EC1" s="13">
        <v>20250722</v>
      </c>
      <c r="ED1" s="13">
        <v>20250723</v>
      </c>
      <c r="EE1" s="13">
        <v>20250724</v>
      </c>
      <c r="EF1" s="13">
        <v>20250725</v>
      </c>
      <c r="EG1" s="13">
        <v>20250728</v>
      </c>
      <c r="EH1" s="13">
        <v>20250729</v>
      </c>
      <c r="EI1" s="13">
        <v>20250730</v>
      </c>
      <c r="EJ1" s="13">
        <v>20250731</v>
      </c>
      <c r="EK1" s="225">
        <v>20250801</v>
      </c>
      <c r="EL1" s="13">
        <v>20250804</v>
      </c>
      <c r="EM1" s="13">
        <v>20250805</v>
      </c>
      <c r="EN1" s="13">
        <v>20250806</v>
      </c>
      <c r="EO1" s="13">
        <v>20250807</v>
      </c>
      <c r="EP1" s="13">
        <v>20250808</v>
      </c>
      <c r="EQ1" s="13">
        <v>20250811</v>
      </c>
      <c r="ER1" s="13">
        <v>20250812</v>
      </c>
      <c r="ES1" s="13">
        <v>20250813</v>
      </c>
      <c r="ET1" s="13">
        <v>20250814</v>
      </c>
      <c r="EU1" s="13">
        <v>20250815</v>
      </c>
      <c r="EV1" s="13">
        <v>20250818</v>
      </c>
      <c r="EW1" s="13">
        <v>20250819</v>
      </c>
      <c r="EX1" s="13">
        <v>20250820</v>
      </c>
      <c r="EY1" s="13">
        <v>20250821</v>
      </c>
      <c r="EZ1" s="13">
        <v>20250822</v>
      </c>
      <c r="FA1" s="13">
        <v>20250825</v>
      </c>
      <c r="FB1" s="13">
        <v>20250826</v>
      </c>
      <c r="FC1" s="13">
        <v>20250827</v>
      </c>
      <c r="FD1" s="13">
        <v>20250828</v>
      </c>
      <c r="FE1" s="13">
        <v>20250829</v>
      </c>
      <c r="FF1" s="225">
        <v>20250902</v>
      </c>
      <c r="FG1" s="13">
        <v>20250903</v>
      </c>
      <c r="FH1" s="13">
        <v>20250904</v>
      </c>
      <c r="FI1" s="13">
        <v>20250912</v>
      </c>
      <c r="FJ1" s="13">
        <v>20250915</v>
      </c>
      <c r="FK1" s="13">
        <v>20250916</v>
      </c>
      <c r="FL1" s="13">
        <v>20250917</v>
      </c>
      <c r="FM1" s="13">
        <v>20250918</v>
      </c>
      <c r="FN1" s="13">
        <v>20250919</v>
      </c>
      <c r="FO1" s="13">
        <v>20250922</v>
      </c>
      <c r="FP1" s="13">
        <v>20250923</v>
      </c>
      <c r="FQ1" s="13">
        <v>20250924</v>
      </c>
      <c r="FR1" s="13">
        <v>20250925</v>
      </c>
      <c r="FS1" s="13">
        <v>20250926</v>
      </c>
      <c r="FT1" s="13">
        <v>20250929</v>
      </c>
      <c r="FU1" s="13">
        <v>20250930</v>
      </c>
      <c r="FV1" s="13">
        <v>20251001</v>
      </c>
      <c r="FW1" s="13">
        <v>20251002</v>
      </c>
      <c r="FX1" s="225">
        <v>20251003</v>
      </c>
      <c r="FY1" s="13">
        <v>20251006</v>
      </c>
      <c r="FZ1" s="13">
        <v>20251007</v>
      </c>
      <c r="GA1" s="13">
        <v>20251008</v>
      </c>
      <c r="GB1" s="13">
        <v>20251009</v>
      </c>
      <c r="GC1" s="13">
        <v>20251010</v>
      </c>
      <c r="GD1" s="13">
        <v>20251013</v>
      </c>
      <c r="GE1" s="13">
        <v>20251014</v>
      </c>
      <c r="GF1" s="13">
        <v>20251015</v>
      </c>
      <c r="GG1" s="13">
        <v>20251016</v>
      </c>
      <c r="GH1" s="13">
        <v>20251017</v>
      </c>
      <c r="GI1" s="13">
        <v>20251020</v>
      </c>
      <c r="GJ1" s="13">
        <v>20251021</v>
      </c>
      <c r="GK1" s="13">
        <v>20251022</v>
      </c>
      <c r="GL1" s="13">
        <v>20251023</v>
      </c>
      <c r="GM1" s="13">
        <v>20251024</v>
      </c>
      <c r="GN1" s="13">
        <v>20251027</v>
      </c>
      <c r="GO1" s="13">
        <v>20251028</v>
      </c>
      <c r="GP1" s="13">
        <v>20251029</v>
      </c>
      <c r="GQ1" s="13">
        <v>20251030</v>
      </c>
      <c r="GR1" s="225">
        <v>20251031</v>
      </c>
      <c r="GS1" s="13">
        <v>20251103</v>
      </c>
      <c r="GT1" s="13">
        <v>20251104</v>
      </c>
      <c r="GU1" s="13">
        <v>20251105</v>
      </c>
      <c r="GV1" s="13">
        <v>20251107</v>
      </c>
      <c r="GW1" s="13">
        <v>20251110</v>
      </c>
      <c r="GX1" s="13">
        <v>20251112</v>
      </c>
      <c r="GY1" s="13">
        <v>20251113</v>
      </c>
      <c r="GZ1" s="13">
        <v>20251114</v>
      </c>
      <c r="HA1" s="13">
        <v>20251117</v>
      </c>
      <c r="HB1" s="13">
        <v>20251118</v>
      </c>
      <c r="HC1" s="13">
        <v>20251119</v>
      </c>
      <c r="HD1" s="13">
        <v>20251120</v>
      </c>
      <c r="HE1" s="13">
        <v>20251121</v>
      </c>
      <c r="HF1" s="13">
        <v>20251124</v>
      </c>
      <c r="HG1" s="13">
        <v>20251125</v>
      </c>
      <c r="HH1" s="13">
        <v>20251126</v>
      </c>
      <c r="HI1" s="13">
        <v>20251127</v>
      </c>
      <c r="HJ1" s="225">
        <v>20251128</v>
      </c>
      <c r="HK1" s="13">
        <v>20251130</v>
      </c>
      <c r="HL1" s="13">
        <v>20251201</v>
      </c>
      <c r="HM1" s="13">
        <v>20251202</v>
      </c>
      <c r="HN1" s="13">
        <v>20251203</v>
      </c>
      <c r="HO1" s="13">
        <v>20251204</v>
      </c>
      <c r="HP1" s="13">
        <v>20251205</v>
      </c>
      <c r="HQ1" s="13">
        <v>20251208</v>
      </c>
      <c r="HR1" s="13">
        <v>20251209</v>
      </c>
      <c r="HS1" s="13">
        <v>20251210</v>
      </c>
      <c r="HT1" s="13">
        <v>20251211</v>
      </c>
      <c r="HU1" s="13">
        <v>20251212</v>
      </c>
      <c r="HV1" s="13">
        <v>20251215</v>
      </c>
      <c r="HW1" s="13">
        <v>20251216</v>
      </c>
      <c r="HX1" s="13">
        <v>20251217</v>
      </c>
      <c r="HY1" s="13">
        <v>20251218</v>
      </c>
      <c r="HZ1" s="13">
        <v>20251219</v>
      </c>
      <c r="IA1" s="13">
        <v>20251221</v>
      </c>
      <c r="IB1" s="13">
        <v>20251222</v>
      </c>
      <c r="IC1" s="13">
        <v>20251223</v>
      </c>
      <c r="ID1" s="13">
        <v>20251224</v>
      </c>
      <c r="IE1" s="13">
        <v>20251225</v>
      </c>
      <c r="IF1" s="13">
        <v>20251226</v>
      </c>
      <c r="IG1" s="13">
        <v>20251228</v>
      </c>
      <c r="IH1" s="13">
        <v>20251229</v>
      </c>
      <c r="II1" s="13">
        <v>20251230</v>
      </c>
      <c r="IJ1" s="13">
        <v>20251231</v>
      </c>
      <c r="IK1" s="225">
        <v>20260102</v>
      </c>
      <c r="IL1" s="13">
        <v>20260105</v>
      </c>
      <c r="IM1" s="13">
        <v>20260106</v>
      </c>
      <c r="IN1" s="13">
        <v>20260107</v>
      </c>
      <c r="IO1" s="13">
        <v>20260108</v>
      </c>
      <c r="IP1" s="225">
        <v>20260109</v>
      </c>
      <c r="IQ1" s="13">
        <v>20260112</v>
      </c>
      <c r="IR1" s="13">
        <v>20260113</v>
      </c>
      <c r="IS1" s="13">
        <v>20260114</v>
      </c>
      <c r="IT1" s="13">
        <v>20260115</v>
      </c>
      <c r="IU1" s="225">
        <v>20260116</v>
      </c>
      <c r="IV1" s="13">
        <v>20260120</v>
      </c>
      <c r="IW1" s="13">
        <v>20260121</v>
      </c>
      <c r="IX1" s="225">
        <v>20260122</v>
      </c>
      <c r="IY1" s="13">
        <v>20260126</v>
      </c>
      <c r="IZ1" s="13">
        <v>20260127</v>
      </c>
      <c r="JA1" s="13">
        <v>20260128</v>
      </c>
      <c r="JB1" s="13">
        <v>20260129</v>
      </c>
      <c r="JC1" s="225">
        <v>20260130</v>
      </c>
      <c r="JD1" s="13">
        <v>20260202</v>
      </c>
      <c r="JE1" s="13">
        <v>20260203</v>
      </c>
      <c r="JF1" s="13">
        <v>20260204</v>
      </c>
      <c r="JG1" s="13">
        <v>20260205</v>
      </c>
      <c r="JH1" s="225">
        <v>20260206</v>
      </c>
      <c r="JI1" s="225">
        <v>20260209</v>
      </c>
      <c r="JJ1" s="225">
        <v>20260210</v>
      </c>
      <c r="JK1" s="225">
        <v>20260211</v>
      </c>
      <c r="JL1" s="225">
        <v>20260212</v>
      </c>
      <c r="JM1" s="225">
        <v>20260213</v>
      </c>
    </row>
    <row r="2" spans="1:273" x14ac:dyDescent="0.35">
      <c r="B2" s="225" t="s">
        <v>14</v>
      </c>
      <c r="C2" s="37">
        <v>756610.81</v>
      </c>
      <c r="D2" s="37">
        <v>739472</v>
      </c>
      <c r="E2" s="37">
        <v>736889</v>
      </c>
      <c r="F2" s="37">
        <v>741460</v>
      </c>
      <c r="G2" s="37">
        <v>740926</v>
      </c>
      <c r="H2" s="37">
        <v>739939</v>
      </c>
      <c r="I2" s="37">
        <v>741104</v>
      </c>
      <c r="J2" s="37">
        <v>744641</v>
      </c>
      <c r="K2" s="37">
        <v>745272</v>
      </c>
      <c r="L2" s="37">
        <v>741453</v>
      </c>
      <c r="M2" s="37">
        <v>738378</v>
      </c>
      <c r="N2" s="37">
        <v>733089</v>
      </c>
      <c r="O2" s="37">
        <v>739279</v>
      </c>
      <c r="P2" s="37">
        <v>745190</v>
      </c>
      <c r="Q2" s="37">
        <v>748285</v>
      </c>
      <c r="R2" s="37">
        <v>749080</v>
      </c>
      <c r="S2" s="37">
        <v>749080</v>
      </c>
      <c r="T2" s="37">
        <v>751392</v>
      </c>
      <c r="U2" s="37">
        <v>755641</v>
      </c>
      <c r="V2" s="37">
        <v>757631</v>
      </c>
      <c r="W2" s="37">
        <v>755105</v>
      </c>
      <c r="X2" s="37">
        <v>756639</v>
      </c>
      <c r="Y2" s="37">
        <v>758988</v>
      </c>
      <c r="Z2" s="37">
        <v>756685</v>
      </c>
      <c r="AA2" s="37">
        <v>753552</v>
      </c>
      <c r="AB2" s="37">
        <v>761032</v>
      </c>
      <c r="AC2" s="37">
        <v>762889</v>
      </c>
      <c r="AD2" s="37">
        <v>761096</v>
      </c>
      <c r="AE2" s="37">
        <v>757726</v>
      </c>
      <c r="AF2" s="37">
        <v>759518</v>
      </c>
      <c r="AG2" s="37">
        <v>759099</v>
      </c>
      <c r="AH2" s="37">
        <v>763448</v>
      </c>
      <c r="AI2" s="37">
        <v>763440</v>
      </c>
      <c r="AJ2" s="37">
        <v>763177</v>
      </c>
      <c r="AK2" s="37">
        <v>763741</v>
      </c>
      <c r="AL2" s="37">
        <v>762802</v>
      </c>
      <c r="AM2" s="37">
        <v>757972</v>
      </c>
      <c r="AN2" s="37">
        <v>756410</v>
      </c>
      <c r="AO2" s="37">
        <v>755607</v>
      </c>
      <c r="AP2" s="37">
        <v>756636</v>
      </c>
      <c r="AQ2" s="37">
        <v>757642</v>
      </c>
      <c r="AR2" s="37">
        <v>752269</v>
      </c>
      <c r="AS2" s="37">
        <v>756631</v>
      </c>
      <c r="AT2" s="37">
        <v>757359</v>
      </c>
      <c r="AU2" s="37">
        <v>757672</v>
      </c>
      <c r="AV2" s="37">
        <v>749518</v>
      </c>
      <c r="AW2" s="37">
        <v>752916</v>
      </c>
      <c r="AX2" s="37">
        <v>747943</v>
      </c>
      <c r="AY2" s="37">
        <v>747667</v>
      </c>
      <c r="AZ2" s="37">
        <v>748749</v>
      </c>
      <c r="BA2" s="37">
        <v>738646</v>
      </c>
      <c r="BB2" s="37">
        <v>736264</v>
      </c>
      <c r="BC2" s="37">
        <v>733015</v>
      </c>
      <c r="BD2" s="37">
        <v>739982</v>
      </c>
      <c r="BE2" s="37">
        <v>743597</v>
      </c>
      <c r="BF2" s="37">
        <v>741790</v>
      </c>
      <c r="BG2" s="37">
        <v>744882</v>
      </c>
      <c r="BH2" s="37">
        <v>744572</v>
      </c>
      <c r="BI2" s="37">
        <v>743393</v>
      </c>
      <c r="BJ2" s="37">
        <v>746613</v>
      </c>
      <c r="BK2" s="37">
        <v>749385</v>
      </c>
      <c r="BL2" s="37">
        <v>743869</v>
      </c>
      <c r="BM2" s="37">
        <v>742212</v>
      </c>
      <c r="BN2" s="37">
        <v>737807</v>
      </c>
      <c r="BO2" s="37">
        <v>737063</v>
      </c>
      <c r="BP2" s="37">
        <v>738669</v>
      </c>
      <c r="BQ2" s="37">
        <v>742703.48</v>
      </c>
      <c r="BR2" s="37">
        <v>730095</v>
      </c>
      <c r="BS2" s="37">
        <v>703610</v>
      </c>
      <c r="BT2" s="37">
        <v>697192</v>
      </c>
      <c r="BU2" s="37">
        <v>688032</v>
      </c>
      <c r="BV2" s="37">
        <v>736887.26</v>
      </c>
      <c r="BW2" s="40">
        <v>717214</v>
      </c>
      <c r="BX2" s="40">
        <v>723417</v>
      </c>
      <c r="BY2" s="40">
        <v>728365.25</v>
      </c>
      <c r="BZ2" s="40">
        <v>734626.31</v>
      </c>
      <c r="CA2" s="40">
        <v>735974.78</v>
      </c>
      <c r="CB2" s="40">
        <v>732670.76</v>
      </c>
      <c r="CC2" s="40">
        <v>729972.5</v>
      </c>
      <c r="CD2" s="40">
        <v>729972.5</v>
      </c>
      <c r="CE2" s="40">
        <v>718436.89</v>
      </c>
      <c r="CF2" s="40">
        <v>732488.55</v>
      </c>
      <c r="CG2" s="40">
        <v>740819.54</v>
      </c>
      <c r="CH2" s="40">
        <v>752993.32</v>
      </c>
      <c r="CI2" s="40">
        <v>755835.84</v>
      </c>
      <c r="CJ2" s="42">
        <v>758042.05</v>
      </c>
      <c r="CK2" s="42">
        <v>761435.15</v>
      </c>
      <c r="CL2" s="42">
        <v>761900.22</v>
      </c>
      <c r="CM2" s="42">
        <v>763765.04</v>
      </c>
      <c r="CN2" s="42">
        <v>774547.7</v>
      </c>
      <c r="CO2" s="42">
        <v>772258.14</v>
      </c>
      <c r="CP2" s="42">
        <v>768432.39</v>
      </c>
      <c r="CQ2" s="42">
        <v>769860.09</v>
      </c>
      <c r="CR2" s="42">
        <v>773571.9</v>
      </c>
      <c r="CS2" s="42">
        <v>774096.65</v>
      </c>
      <c r="CT2" s="42">
        <v>790950.83</v>
      </c>
      <c r="CU2" s="42">
        <v>794230.34</v>
      </c>
      <c r="CV2" s="42">
        <v>793052.58</v>
      </c>
      <c r="CW2" s="42">
        <v>796559.45</v>
      </c>
      <c r="CX2" s="42">
        <v>787889.47</v>
      </c>
      <c r="CY2" s="42">
        <v>795280.7</v>
      </c>
      <c r="CZ2" s="42">
        <v>795466.44</v>
      </c>
      <c r="DA2" s="42">
        <v>798095.03</v>
      </c>
      <c r="DB2" s="42">
        <v>798780.64</v>
      </c>
      <c r="DC2" s="42">
        <v>801929.88</v>
      </c>
      <c r="DD2" s="42">
        <v>804911.94</v>
      </c>
      <c r="DE2" s="42">
        <v>806246.49</v>
      </c>
      <c r="DF2" s="42">
        <v>804493.01</v>
      </c>
      <c r="DG2" s="42">
        <v>808812.12</v>
      </c>
      <c r="DH2" s="42">
        <v>809540.72</v>
      </c>
      <c r="DI2" s="42">
        <v>812250.88</v>
      </c>
      <c r="DJ2" s="42">
        <v>811394.98</v>
      </c>
      <c r="DK2" s="42">
        <v>814326.22</v>
      </c>
      <c r="DL2" s="42">
        <v>805050.82</v>
      </c>
      <c r="DM2" s="42">
        <v>810311.2</v>
      </c>
      <c r="DN2" s="42">
        <v>804202.36</v>
      </c>
      <c r="DO2" s="42">
        <v>804542.95</v>
      </c>
      <c r="DP2" s="42">
        <v>802366.04</v>
      </c>
      <c r="DQ2" s="42">
        <v>812754.62</v>
      </c>
      <c r="DR2" s="42">
        <v>817657.02</v>
      </c>
      <c r="DS2" s="42">
        <v>816677.52</v>
      </c>
      <c r="DT2" s="42">
        <v>822697.53</v>
      </c>
      <c r="DU2" s="42">
        <v>825972.7</v>
      </c>
      <c r="DV2" s="42">
        <v>828585.23</v>
      </c>
      <c r="DW2" s="42">
        <v>833274.79</v>
      </c>
      <c r="DX2" s="42">
        <v>830801.7</v>
      </c>
      <c r="DY2" s="42">
        <v>830266.92</v>
      </c>
      <c r="DZ2" s="42">
        <v>835054.49</v>
      </c>
      <c r="EA2" s="42">
        <v>834514.4</v>
      </c>
      <c r="EB2" s="42">
        <v>835490.32</v>
      </c>
      <c r="EC2" s="42">
        <v>838234.94</v>
      </c>
      <c r="ED2" s="42">
        <v>845610.16</v>
      </c>
      <c r="EE2" s="42">
        <v>843802.91</v>
      </c>
      <c r="EF2" s="42">
        <v>846655.83</v>
      </c>
      <c r="EG2" s="42">
        <v>843235.19</v>
      </c>
      <c r="EH2" s="42">
        <v>842257.54</v>
      </c>
      <c r="EI2" s="42">
        <v>839069.05</v>
      </c>
      <c r="EJ2" s="42">
        <v>834697.78</v>
      </c>
      <c r="EK2" s="42">
        <v>827043.41</v>
      </c>
      <c r="EL2" s="7">
        <v>837300.79</v>
      </c>
      <c r="EM2" s="7">
        <v>835393.14</v>
      </c>
      <c r="EN2" s="7">
        <v>837710.95</v>
      </c>
      <c r="EO2" s="7">
        <v>838867.8</v>
      </c>
      <c r="EP2" s="7">
        <v>841463.45</v>
      </c>
      <c r="EQ2" s="7">
        <v>839162.98</v>
      </c>
      <c r="ER2" s="7">
        <v>848439.34</v>
      </c>
      <c r="ES2" s="7">
        <v>853523.88</v>
      </c>
      <c r="ET2" s="7">
        <v>851000.04</v>
      </c>
      <c r="EU2" s="7">
        <v>850264.41</v>
      </c>
      <c r="EV2" s="7">
        <v>850364.57</v>
      </c>
      <c r="EW2" s="7">
        <v>848254.44</v>
      </c>
      <c r="EX2" s="7">
        <v>847289.15</v>
      </c>
      <c r="EY2" s="7">
        <v>844682.73</v>
      </c>
      <c r="EZ2" s="7">
        <v>858037.92</v>
      </c>
      <c r="FA2" s="7">
        <v>852866.91</v>
      </c>
      <c r="FB2" s="7">
        <v>855070.27</v>
      </c>
      <c r="FC2" s="7">
        <v>856508.75</v>
      </c>
      <c r="FD2" s="7">
        <v>859109.64</v>
      </c>
      <c r="FE2" s="7">
        <v>855738.29</v>
      </c>
      <c r="FF2" s="7">
        <v>849768.74</v>
      </c>
      <c r="FG2" s="7">
        <v>851878.34</v>
      </c>
      <c r="FH2" s="7">
        <v>858091.55</v>
      </c>
      <c r="FI2" s="7">
        <v>866070.29</v>
      </c>
      <c r="FJ2" s="7">
        <v>867912.05</v>
      </c>
      <c r="FK2" s="7">
        <v>868591.11</v>
      </c>
      <c r="FL2" s="7">
        <v>866768.9</v>
      </c>
      <c r="FM2" s="7">
        <v>871087.93</v>
      </c>
      <c r="FN2" s="7">
        <v>871334.91</v>
      </c>
      <c r="FO2" s="7">
        <v>873677.14</v>
      </c>
      <c r="FP2" s="7">
        <v>871533.17</v>
      </c>
      <c r="FQ2" s="7">
        <v>867578.56</v>
      </c>
      <c r="FR2" s="7">
        <v>862568.85</v>
      </c>
      <c r="FS2" s="7">
        <v>867582.96</v>
      </c>
      <c r="FT2" s="7">
        <v>869364.75</v>
      </c>
      <c r="FU2" s="7">
        <v>871521.38</v>
      </c>
      <c r="FV2" s="7">
        <v>875579.27</v>
      </c>
      <c r="FW2" s="7">
        <v>876436.15</v>
      </c>
      <c r="FX2" s="7">
        <v>879232.22</v>
      </c>
      <c r="FY2" s="7">
        <v>881075.97</v>
      </c>
      <c r="FZ2" s="7">
        <v>875651.28</v>
      </c>
      <c r="GA2" s="7">
        <v>877716.02</v>
      </c>
      <c r="GB2" s="7">
        <v>875791.13</v>
      </c>
      <c r="GC2" s="7">
        <v>857035.61</v>
      </c>
      <c r="GD2" s="7">
        <v>867709.6</v>
      </c>
      <c r="GE2" s="7">
        <v>869228.14</v>
      </c>
      <c r="GF2" s="7">
        <v>872303.69</v>
      </c>
      <c r="GG2" s="7">
        <v>868625.19</v>
      </c>
      <c r="GH2" s="7">
        <v>870964.42</v>
      </c>
      <c r="GI2" s="7">
        <v>879042.3</v>
      </c>
      <c r="GJ2" s="7">
        <v>878792.62</v>
      </c>
      <c r="GK2" s="7">
        <v>875023.87</v>
      </c>
      <c r="GL2" s="7">
        <v>880148.92</v>
      </c>
      <c r="GM2" s="7">
        <v>884617.53</v>
      </c>
      <c r="GN2" s="7">
        <v>891443.84</v>
      </c>
      <c r="GO2" s="7">
        <v>890248.16</v>
      </c>
      <c r="GP2" s="7">
        <v>886343.75</v>
      </c>
      <c r="GQ2" s="7">
        <v>880113.79</v>
      </c>
      <c r="GR2" s="7">
        <v>881997.32</v>
      </c>
      <c r="GS2" s="7">
        <v>882838.19</v>
      </c>
      <c r="GT2" s="7">
        <v>873781.36</v>
      </c>
      <c r="GU2" s="7">
        <v>877124.16</v>
      </c>
      <c r="GV2" s="7">
        <v>873249</v>
      </c>
      <c r="GW2" s="7">
        <v>884636.96</v>
      </c>
      <c r="GX2" s="7">
        <v>886453.2</v>
      </c>
      <c r="GY2" s="7">
        <v>874113.4</v>
      </c>
      <c r="GZ2" s="7">
        <v>872727.62</v>
      </c>
      <c r="HA2" s="7">
        <v>868016.46</v>
      </c>
      <c r="HB2" s="7">
        <v>861889.43</v>
      </c>
      <c r="HC2" s="7">
        <v>862250.1</v>
      </c>
      <c r="HD2" s="7">
        <v>855896.28</v>
      </c>
      <c r="HE2" s="7">
        <v>863403.55</v>
      </c>
      <c r="HF2" s="7">
        <v>868633.41</v>
      </c>
      <c r="HG2" s="7">
        <v>875275.49</v>
      </c>
      <c r="HH2" s="7">
        <v>877583.22</v>
      </c>
      <c r="HI2" s="7">
        <v>879133.88</v>
      </c>
      <c r="HJ2" s="7">
        <v>881313.47</v>
      </c>
      <c r="HK2" s="7">
        <v>882041.52</v>
      </c>
      <c r="HL2" s="7">
        <v>877276.78</v>
      </c>
      <c r="HM2" s="7">
        <v>878382.25</v>
      </c>
      <c r="HN2" s="7">
        <v>881599.39</v>
      </c>
      <c r="HO2" s="7">
        <v>882122.95</v>
      </c>
      <c r="HP2" s="7">
        <v>880931</v>
      </c>
      <c r="HQ2" s="7">
        <v>878583</v>
      </c>
      <c r="HR2" s="7">
        <v>877048.53</v>
      </c>
      <c r="HS2" s="7">
        <v>883322.52</v>
      </c>
      <c r="HT2" s="7">
        <v>885823.7</v>
      </c>
      <c r="HU2" s="7">
        <v>880178.27</v>
      </c>
      <c r="HV2" s="7">
        <v>880204.67</v>
      </c>
      <c r="HW2" s="7">
        <v>877682.87</v>
      </c>
      <c r="HX2" s="7">
        <v>873708.14</v>
      </c>
      <c r="HY2" s="7">
        <v>877463.48</v>
      </c>
      <c r="HZ2" s="7">
        <v>880332.36</v>
      </c>
      <c r="IA2" s="7">
        <v>881041.9</v>
      </c>
      <c r="IB2" s="7">
        <v>883795.54</v>
      </c>
      <c r="IC2" s="7">
        <v>885283.54</v>
      </c>
      <c r="ID2" s="7">
        <v>887220.37</v>
      </c>
      <c r="IE2" s="7">
        <v>888009.23</v>
      </c>
      <c r="IF2" s="7">
        <v>885732.45</v>
      </c>
      <c r="IG2" s="7">
        <v>887975.97</v>
      </c>
      <c r="IH2" s="7">
        <v>886903.95</v>
      </c>
      <c r="II2" s="7">
        <v>886293.92</v>
      </c>
      <c r="IJ2" s="7">
        <v>883259.92</v>
      </c>
      <c r="IK2" s="7">
        <v>885797.03</v>
      </c>
      <c r="IL2" s="7">
        <v>890942.63</v>
      </c>
      <c r="IM2" s="7">
        <v>894528.99</v>
      </c>
      <c r="IN2" s="7">
        <v>891646.64</v>
      </c>
      <c r="IO2" s="7">
        <v>891768.96</v>
      </c>
      <c r="IP2" s="7">
        <v>896050.46</v>
      </c>
      <c r="IQ2" s="7">
        <v>896710.16</v>
      </c>
      <c r="IR2" s="7">
        <v>895711.44</v>
      </c>
      <c r="IS2" s="7">
        <v>895610.64</v>
      </c>
      <c r="IT2" s="7">
        <v>896840.29</v>
      </c>
      <c r="IU2" s="7">
        <v>895844.16</v>
      </c>
      <c r="IV2" s="7">
        <v>885893.04</v>
      </c>
      <c r="IW2" s="7">
        <v>893021.75</v>
      </c>
      <c r="IX2" s="7">
        <v>895692.82</v>
      </c>
      <c r="IY2" s="7">
        <v>895760.15</v>
      </c>
      <c r="IZ2" s="7">
        <v>900393.72</v>
      </c>
      <c r="JA2" s="7">
        <v>898347.31</v>
      </c>
      <c r="JB2" s="7">
        <v>898341.31</v>
      </c>
      <c r="JC2" s="7">
        <v>894697</v>
      </c>
      <c r="JD2" s="7">
        <v>897330.83</v>
      </c>
      <c r="JE2" s="7">
        <v>895012.25</v>
      </c>
      <c r="JF2" s="7">
        <v>894818.69</v>
      </c>
      <c r="JG2" s="7">
        <v>890807.2</v>
      </c>
      <c r="JH2" s="7">
        <v>900224.71</v>
      </c>
      <c r="JI2" s="7">
        <v>903370.57</v>
      </c>
      <c r="JJ2" s="7">
        <v>904381.34</v>
      </c>
      <c r="JK2" s="7">
        <v>904067.69</v>
      </c>
      <c r="JL2" s="7">
        <v>898511.04</v>
      </c>
      <c r="JM2" s="7">
        <v>901034.83</v>
      </c>
    </row>
    <row r="3" spans="1:273" x14ac:dyDescent="0.35">
      <c r="B3" s="225" t="s">
        <v>15</v>
      </c>
      <c r="C3" s="37">
        <v>243930.99</v>
      </c>
      <c r="D3" s="37">
        <v>237018</v>
      </c>
      <c r="E3" s="37">
        <v>232357</v>
      </c>
      <c r="F3" s="37">
        <v>237743</v>
      </c>
      <c r="G3" s="37">
        <v>237524</v>
      </c>
      <c r="H3" s="37">
        <v>237016</v>
      </c>
      <c r="I3" s="37">
        <v>237081</v>
      </c>
      <c r="J3" s="37">
        <v>238680</v>
      </c>
      <c r="K3" s="37">
        <v>239312</v>
      </c>
      <c r="L3" s="37">
        <v>237855</v>
      </c>
      <c r="M3" s="37">
        <v>237675</v>
      </c>
      <c r="N3" s="37">
        <v>234839</v>
      </c>
      <c r="O3" s="37">
        <v>236096</v>
      </c>
      <c r="P3" s="37">
        <v>238890</v>
      </c>
      <c r="Q3" s="37">
        <v>239621</v>
      </c>
      <c r="R3" s="37">
        <v>240541</v>
      </c>
      <c r="S3" s="37">
        <v>240541</v>
      </c>
      <c r="T3" s="37">
        <v>240664</v>
      </c>
      <c r="U3" s="37">
        <v>243265</v>
      </c>
      <c r="V3" s="37">
        <v>244029</v>
      </c>
      <c r="W3" s="37">
        <v>243768</v>
      </c>
      <c r="X3" s="37">
        <v>243221</v>
      </c>
      <c r="Y3" s="37">
        <v>244647</v>
      </c>
      <c r="Z3" s="37">
        <v>243547</v>
      </c>
      <c r="AA3" s="37">
        <v>242096</v>
      </c>
      <c r="AB3" s="37">
        <v>244841</v>
      </c>
      <c r="AC3" s="37">
        <v>245341</v>
      </c>
      <c r="AD3" s="37">
        <v>245231</v>
      </c>
      <c r="AE3" s="37">
        <v>243403</v>
      </c>
      <c r="AF3" s="37">
        <v>244162</v>
      </c>
      <c r="AG3" s="37">
        <v>243520</v>
      </c>
      <c r="AH3" s="37">
        <v>245580</v>
      </c>
      <c r="AI3" s="37">
        <v>245579</v>
      </c>
      <c r="AJ3" s="37">
        <v>245543</v>
      </c>
      <c r="AK3" s="37">
        <v>245725</v>
      </c>
      <c r="AL3" s="37">
        <v>245639</v>
      </c>
      <c r="AM3" s="37">
        <v>243143</v>
      </c>
      <c r="AN3" s="37">
        <v>243028</v>
      </c>
      <c r="AO3" s="37">
        <v>242429</v>
      </c>
      <c r="AP3" s="37">
        <v>242673</v>
      </c>
      <c r="AQ3" s="37">
        <v>243180</v>
      </c>
      <c r="AR3" s="37">
        <v>240936</v>
      </c>
      <c r="AS3" s="37">
        <v>242638</v>
      </c>
      <c r="AT3" s="37">
        <v>242697</v>
      </c>
      <c r="AU3" s="37">
        <v>242646</v>
      </c>
      <c r="AV3" s="37">
        <v>239461</v>
      </c>
      <c r="AW3" s="37">
        <v>241729</v>
      </c>
      <c r="AX3" s="37">
        <v>239463</v>
      </c>
      <c r="AY3" s="37">
        <v>239401</v>
      </c>
      <c r="AZ3" s="37">
        <v>240057</v>
      </c>
      <c r="BA3" s="37">
        <v>236033</v>
      </c>
      <c r="BB3" s="37">
        <v>235124</v>
      </c>
      <c r="BC3" s="37">
        <v>233687</v>
      </c>
      <c r="BD3" s="37">
        <v>236746</v>
      </c>
      <c r="BE3" s="37">
        <v>238504</v>
      </c>
      <c r="BF3" s="37">
        <v>237537</v>
      </c>
      <c r="BG3" s="37">
        <v>238998</v>
      </c>
      <c r="BH3" s="37">
        <v>238572</v>
      </c>
      <c r="BI3" s="37">
        <v>237819.97</v>
      </c>
      <c r="BJ3" s="37">
        <v>239535</v>
      </c>
      <c r="BK3" s="37">
        <v>239909</v>
      </c>
      <c r="BL3" s="37">
        <v>238120</v>
      </c>
      <c r="BM3" s="37">
        <v>237720</v>
      </c>
      <c r="BN3" s="37">
        <v>235346</v>
      </c>
      <c r="BO3" s="37">
        <v>235226</v>
      </c>
      <c r="BP3" s="37">
        <v>235858</v>
      </c>
      <c r="BQ3" s="37">
        <v>237540.19</v>
      </c>
      <c r="BR3" s="37">
        <v>231371</v>
      </c>
      <c r="BS3" s="37">
        <v>222180</v>
      </c>
      <c r="BT3" s="37">
        <v>219760</v>
      </c>
      <c r="BU3" s="37">
        <v>216933</v>
      </c>
      <c r="BV3" s="37">
        <v>232371.22</v>
      </c>
      <c r="BW3" s="40">
        <v>226159</v>
      </c>
      <c r="BX3" s="40">
        <v>228114</v>
      </c>
      <c r="BY3" s="40">
        <v>229670.51</v>
      </c>
      <c r="BZ3" s="40">
        <v>231641.83</v>
      </c>
      <c r="CA3" s="40">
        <v>232065.09</v>
      </c>
      <c r="CB3" s="40">
        <v>231023.67</v>
      </c>
      <c r="CC3" s="40">
        <v>230165.76000000001</v>
      </c>
      <c r="CD3" s="40">
        <v>230165.76000000001</v>
      </c>
      <c r="CE3" s="40">
        <v>226526.68</v>
      </c>
      <c r="CF3" s="40">
        <v>230957.31</v>
      </c>
      <c r="CG3" s="40">
        <v>233583.55</v>
      </c>
      <c r="CH3" s="40">
        <v>237421.55</v>
      </c>
      <c r="CI3" s="40">
        <v>238317.28</v>
      </c>
      <c r="CJ3" s="40">
        <v>239011.05</v>
      </c>
      <c r="CK3" s="40">
        <v>240081.21</v>
      </c>
      <c r="CL3" s="40">
        <v>240229.46</v>
      </c>
      <c r="CM3" s="40">
        <v>240814.47</v>
      </c>
      <c r="CN3" s="40">
        <v>244211.19</v>
      </c>
      <c r="CO3" s="40">
        <v>243487.31</v>
      </c>
      <c r="CP3" s="40">
        <v>242279.81</v>
      </c>
      <c r="CQ3" s="40">
        <v>242731.18</v>
      </c>
      <c r="CR3" s="40">
        <v>243901.37</v>
      </c>
      <c r="CS3" s="40">
        <v>244064.56</v>
      </c>
      <c r="CT3" s="40">
        <v>249378.51</v>
      </c>
      <c r="CU3" s="40">
        <v>250410.2</v>
      </c>
      <c r="CV3" s="40">
        <v>250038.51</v>
      </c>
      <c r="CW3" s="40">
        <v>251144.1</v>
      </c>
      <c r="CX3" s="40">
        <v>248407.03</v>
      </c>
      <c r="CY3" s="40">
        <v>250737.21</v>
      </c>
      <c r="CZ3" s="40">
        <v>250796.34</v>
      </c>
      <c r="DA3" s="40">
        <v>251625.07</v>
      </c>
      <c r="DB3" s="40">
        <v>251840.9</v>
      </c>
      <c r="DC3" s="40">
        <v>252832.23</v>
      </c>
      <c r="DD3" s="40">
        <v>253773.57</v>
      </c>
      <c r="DE3" s="40">
        <v>254192.8</v>
      </c>
      <c r="DF3" s="40">
        <v>253639.69</v>
      </c>
      <c r="DG3" s="40">
        <v>255002.78</v>
      </c>
      <c r="DH3" s="40">
        <v>255232.83</v>
      </c>
      <c r="DI3" s="40">
        <v>256087.88</v>
      </c>
      <c r="DJ3" s="40">
        <v>255817.58</v>
      </c>
      <c r="DK3" s="40">
        <v>256741.12</v>
      </c>
      <c r="DL3" s="40">
        <v>253817.38</v>
      </c>
      <c r="DM3" s="40">
        <v>255474.9</v>
      </c>
      <c r="DN3" s="40">
        <v>253550.12</v>
      </c>
      <c r="DO3" s="40">
        <v>253657.29</v>
      </c>
      <c r="DP3" s="40">
        <v>252973.3</v>
      </c>
      <c r="DQ3" s="40">
        <v>256249.81</v>
      </c>
      <c r="DR3" s="40">
        <v>257793.63</v>
      </c>
      <c r="DS3" s="40">
        <v>257483.47</v>
      </c>
      <c r="DT3" s="40">
        <v>259379.92</v>
      </c>
      <c r="DU3" s="40">
        <v>260411.63</v>
      </c>
      <c r="DV3" s="40">
        <v>261235.98</v>
      </c>
      <c r="DW3" s="7">
        <v>262714.71999999997</v>
      </c>
      <c r="DX3" s="7">
        <v>261930.38</v>
      </c>
      <c r="DY3" s="7">
        <v>261766.85</v>
      </c>
      <c r="DZ3" s="7">
        <v>263275.62</v>
      </c>
      <c r="EA3" s="7">
        <v>263105.02</v>
      </c>
      <c r="EB3" s="7">
        <v>263412.65000000002</v>
      </c>
      <c r="EC3" s="7">
        <v>264277.78000000003</v>
      </c>
      <c r="ED3" s="7">
        <v>266600.94</v>
      </c>
      <c r="EE3" s="7">
        <v>266032.57</v>
      </c>
      <c r="EF3" s="7">
        <v>266932.3</v>
      </c>
      <c r="EG3" s="7">
        <v>265855.19</v>
      </c>
      <c r="EH3" s="7">
        <v>265547.64</v>
      </c>
      <c r="EI3" s="7">
        <v>264543.38</v>
      </c>
      <c r="EJ3" s="7">
        <v>263165.5</v>
      </c>
      <c r="EK3" s="7">
        <v>260753.28</v>
      </c>
      <c r="EL3" s="7">
        <v>263985.01</v>
      </c>
      <c r="EM3" s="7">
        <v>263382.19</v>
      </c>
      <c r="EN3" s="7">
        <v>264111.15000000002</v>
      </c>
      <c r="EO3" s="7">
        <v>264475.31</v>
      </c>
      <c r="EP3" s="7">
        <v>265294.49</v>
      </c>
      <c r="EQ3" s="7">
        <v>264570.45</v>
      </c>
      <c r="ER3" s="7">
        <v>267492.87</v>
      </c>
      <c r="ES3" s="7">
        <v>269094.55</v>
      </c>
      <c r="ET3" s="7">
        <v>268301.26</v>
      </c>
      <c r="EU3" s="7">
        <v>268069.21999999997</v>
      </c>
      <c r="EV3" s="7">
        <v>268100.24</v>
      </c>
      <c r="EW3" s="7">
        <v>267435.57</v>
      </c>
      <c r="EX3" s="7">
        <v>267131.58</v>
      </c>
      <c r="EY3" s="7">
        <v>266309.8</v>
      </c>
      <c r="EZ3" s="7">
        <v>270516.96999999997</v>
      </c>
      <c r="FA3" s="7">
        <v>268887.34000000003</v>
      </c>
      <c r="FB3" s="7">
        <v>269582.45</v>
      </c>
      <c r="FC3" s="7">
        <v>270036.19</v>
      </c>
      <c r="FD3" s="7">
        <v>270855.64</v>
      </c>
      <c r="FE3" s="7">
        <v>269793.67</v>
      </c>
      <c r="FF3" s="7">
        <v>267914.12</v>
      </c>
      <c r="FG3" s="7">
        <v>268578.99</v>
      </c>
      <c r="FH3" s="7">
        <v>270537.40999999997</v>
      </c>
      <c r="FI3" s="7">
        <v>273050.32</v>
      </c>
      <c r="FJ3" s="7">
        <v>273633.49</v>
      </c>
      <c r="FK3" s="7">
        <v>273843.18</v>
      </c>
      <c r="FL3" s="7">
        <v>273269.78000000003</v>
      </c>
      <c r="FM3" s="7">
        <v>274630.15999999997</v>
      </c>
      <c r="FN3" s="7">
        <v>274709.78999999998</v>
      </c>
      <c r="FO3" s="7">
        <v>275448.21000000002</v>
      </c>
      <c r="FP3" s="7">
        <v>274772.28000000003</v>
      </c>
      <c r="FQ3" s="7">
        <v>273527.48</v>
      </c>
      <c r="FR3" s="7">
        <v>271950.24</v>
      </c>
      <c r="FS3" s="7">
        <v>273530.59999999998</v>
      </c>
      <c r="FT3" s="7">
        <v>274092.32</v>
      </c>
      <c r="FU3" s="7">
        <v>274771.95</v>
      </c>
      <c r="FV3" s="7">
        <v>276050</v>
      </c>
      <c r="FW3" s="7">
        <v>276319.32</v>
      </c>
      <c r="FX3" s="7">
        <v>277200.02</v>
      </c>
      <c r="FY3" s="7">
        <v>277779.92</v>
      </c>
      <c r="FZ3" s="7">
        <v>276072.90999999997</v>
      </c>
      <c r="GA3" s="7">
        <v>276722.87</v>
      </c>
      <c r="GB3" s="7">
        <v>276118.95</v>
      </c>
      <c r="GC3" s="7">
        <v>270209.84999999998</v>
      </c>
      <c r="GD3" s="7">
        <v>273572.96999999997</v>
      </c>
      <c r="GE3" s="7">
        <v>274051.53999999998</v>
      </c>
      <c r="GF3" s="7">
        <v>275019.31</v>
      </c>
      <c r="GG3" s="7">
        <v>273859.03000000003</v>
      </c>
      <c r="GH3" s="7">
        <v>274597.34000000003</v>
      </c>
      <c r="GI3" s="7">
        <v>277141.86</v>
      </c>
      <c r="GJ3" s="7">
        <v>277063.53000000003</v>
      </c>
      <c r="GK3" s="7">
        <v>275876.93</v>
      </c>
      <c r="GL3" s="7">
        <v>277490.98</v>
      </c>
      <c r="GM3" s="7">
        <v>278899.21999999997</v>
      </c>
      <c r="GN3" s="7">
        <v>281050.58</v>
      </c>
      <c r="GO3" s="7">
        <v>280674.21999999997</v>
      </c>
      <c r="GP3" s="7">
        <v>279444.46999999997</v>
      </c>
      <c r="GQ3" s="7">
        <v>277480.11</v>
      </c>
      <c r="GR3" s="7">
        <v>278074.59999999998</v>
      </c>
      <c r="GS3" s="7">
        <v>278339.69</v>
      </c>
      <c r="GT3" s="7">
        <v>275487.27</v>
      </c>
      <c r="GU3" s="7">
        <v>276539.37</v>
      </c>
      <c r="GV3" s="7">
        <v>275319.59000000003</v>
      </c>
      <c r="GW3" s="7">
        <v>278905.11</v>
      </c>
      <c r="GX3" s="7">
        <v>279476.76</v>
      </c>
      <c r="GY3" s="7">
        <v>275589.84999999998</v>
      </c>
      <c r="GZ3" s="7">
        <v>275153.77</v>
      </c>
      <c r="HA3" s="7">
        <v>273668.90000000002</v>
      </c>
      <c r="HB3" s="7">
        <v>271739.05</v>
      </c>
      <c r="HC3" s="7">
        <v>271853.74</v>
      </c>
      <c r="HD3" s="7">
        <v>269848.62</v>
      </c>
      <c r="HE3" s="7">
        <v>272212.98</v>
      </c>
      <c r="HF3" s="7">
        <v>273865.96000000002</v>
      </c>
      <c r="HG3" s="7">
        <v>275958.8</v>
      </c>
      <c r="HH3" s="7">
        <v>276686.23</v>
      </c>
      <c r="HI3" s="7">
        <v>277174.86</v>
      </c>
      <c r="HJ3" s="7">
        <v>277861.67</v>
      </c>
      <c r="HK3" s="7">
        <v>278091.45</v>
      </c>
      <c r="HL3" s="7">
        <v>276590.78000000003</v>
      </c>
      <c r="HM3" s="7">
        <v>276940.87</v>
      </c>
      <c r="HN3" s="7">
        <v>277953.05</v>
      </c>
      <c r="HO3" s="7">
        <v>278118.13</v>
      </c>
      <c r="HP3" s="7">
        <v>277744</v>
      </c>
      <c r="HQ3" s="7">
        <v>277004</v>
      </c>
      <c r="HR3" s="7">
        <v>276844.69</v>
      </c>
      <c r="HS3" s="7">
        <v>278495.55</v>
      </c>
      <c r="HT3" s="7">
        <v>279281.17</v>
      </c>
      <c r="HU3" s="7">
        <v>277499.56</v>
      </c>
      <c r="HV3" s="7">
        <v>277505.99</v>
      </c>
      <c r="HW3" s="7">
        <v>276715.28000000003</v>
      </c>
      <c r="HX3" s="7">
        <v>275458.74</v>
      </c>
      <c r="HY3" s="7">
        <v>276645.59999999998</v>
      </c>
      <c r="HZ3" s="7">
        <v>277551.06</v>
      </c>
      <c r="IA3" s="7">
        <v>277774.69</v>
      </c>
      <c r="IB3" s="7">
        <v>278641.88</v>
      </c>
      <c r="IC3" s="7">
        <v>279112.46000000002</v>
      </c>
      <c r="ID3" s="7">
        <v>279722.56</v>
      </c>
      <c r="IE3" s="7">
        <v>279971.11</v>
      </c>
      <c r="IF3" s="7">
        <v>279253.55</v>
      </c>
      <c r="IG3" s="7">
        <v>279960.56</v>
      </c>
      <c r="IH3" s="7">
        <v>279622.11</v>
      </c>
      <c r="II3" s="7">
        <v>279429.39</v>
      </c>
      <c r="IJ3" s="7">
        <v>278473.46000000002</v>
      </c>
      <c r="IK3" s="7">
        <v>279269.90000000002</v>
      </c>
      <c r="IL3" s="7">
        <v>280890.21999999997</v>
      </c>
      <c r="IM3" s="7">
        <v>282019.12</v>
      </c>
      <c r="IN3" s="7">
        <v>281114.46999999997</v>
      </c>
      <c r="IO3" s="7">
        <v>281149.51</v>
      </c>
      <c r="IP3" s="7">
        <v>282498.5</v>
      </c>
      <c r="IQ3" s="7">
        <v>282707.02</v>
      </c>
      <c r="IR3" s="7">
        <v>282031.88</v>
      </c>
      <c r="IS3" s="7">
        <v>282355.48</v>
      </c>
      <c r="IT3" s="7">
        <v>282742.52</v>
      </c>
      <c r="IU3" s="7">
        <v>282428.84999999998</v>
      </c>
      <c r="IV3" s="7">
        <v>279289.75</v>
      </c>
      <c r="IW3" s="7">
        <v>281535.14</v>
      </c>
      <c r="IX3" s="7">
        <v>282379.18</v>
      </c>
      <c r="IY3" s="7">
        <v>282403.06</v>
      </c>
      <c r="IZ3" s="7">
        <v>283865.90000000002</v>
      </c>
      <c r="JA3" s="7">
        <v>283220.57</v>
      </c>
      <c r="JB3" s="7">
        <v>283215.46999999997</v>
      </c>
      <c r="JC3" s="7">
        <v>282064.40999999997</v>
      </c>
      <c r="JD3" s="7">
        <v>282893.38</v>
      </c>
      <c r="JE3" s="7">
        <v>282157.26</v>
      </c>
      <c r="JF3" s="7">
        <v>282091.73</v>
      </c>
      <c r="JG3" s="7">
        <v>280824.46999999997</v>
      </c>
      <c r="JH3" s="7">
        <v>283792.81</v>
      </c>
      <c r="JI3" s="7">
        <v>284787.13</v>
      </c>
      <c r="JJ3" s="7">
        <v>285104.8</v>
      </c>
      <c r="JK3" s="7">
        <v>285003.8</v>
      </c>
      <c r="JL3" s="7">
        <v>283251.26</v>
      </c>
      <c r="JM3" s="7">
        <v>284043.21000000002</v>
      </c>
    </row>
    <row r="4" spans="1:273" x14ac:dyDescent="0.35">
      <c r="B4" s="225" t="s">
        <v>16</v>
      </c>
      <c r="C4" s="37">
        <v>263898.09999999998</v>
      </c>
      <c r="D4" s="37">
        <v>263898</v>
      </c>
      <c r="E4" s="37">
        <v>264548</v>
      </c>
      <c r="F4" s="37">
        <v>264548</v>
      </c>
      <c r="G4" s="37">
        <v>264548</v>
      </c>
      <c r="H4" s="37">
        <v>264548</v>
      </c>
      <c r="I4" s="37">
        <v>264548</v>
      </c>
      <c r="J4" s="37">
        <v>264548</v>
      </c>
      <c r="K4" s="37">
        <v>264548</v>
      </c>
      <c r="L4" s="37">
        <v>265198</v>
      </c>
      <c r="M4" s="37">
        <v>265675</v>
      </c>
      <c r="N4" s="37">
        <v>265198</v>
      </c>
      <c r="O4" s="37">
        <v>265198</v>
      </c>
      <c r="P4" s="37">
        <v>265198</v>
      </c>
      <c r="Q4" s="37">
        <v>265198</v>
      </c>
      <c r="R4" s="37">
        <v>265198</v>
      </c>
      <c r="S4" s="37">
        <v>265035</v>
      </c>
      <c r="T4" s="37">
        <v>265035</v>
      </c>
      <c r="U4" s="37">
        <v>265631</v>
      </c>
      <c r="V4" s="37">
        <v>265631</v>
      </c>
      <c r="W4" s="37">
        <v>265631</v>
      </c>
      <c r="X4" s="37">
        <v>265631</v>
      </c>
      <c r="Y4" s="37">
        <v>265631</v>
      </c>
      <c r="Z4" s="37">
        <v>265631</v>
      </c>
      <c r="AA4" s="37">
        <v>265631</v>
      </c>
      <c r="AB4" s="37">
        <v>265631</v>
      </c>
      <c r="AC4" s="37">
        <v>265631</v>
      </c>
      <c r="AD4" s="37">
        <v>266227</v>
      </c>
      <c r="AE4" s="37">
        <v>278831</v>
      </c>
      <c r="AF4" s="37">
        <v>278831</v>
      </c>
      <c r="AG4" s="37">
        <v>278831</v>
      </c>
      <c r="AH4" s="37">
        <v>278831</v>
      </c>
      <c r="AI4" s="37">
        <v>278831</v>
      </c>
      <c r="AJ4" s="37">
        <v>278831</v>
      </c>
      <c r="AK4" s="37">
        <v>282038</v>
      </c>
      <c r="AL4" s="37">
        <v>282038</v>
      </c>
      <c r="AM4" s="37">
        <v>282038</v>
      </c>
      <c r="AN4" s="37">
        <v>282688</v>
      </c>
      <c r="AO4" s="37">
        <v>282688</v>
      </c>
      <c r="AP4" s="37">
        <v>282688</v>
      </c>
      <c r="AQ4" s="37">
        <v>282688</v>
      </c>
      <c r="AR4" s="37">
        <v>282688</v>
      </c>
      <c r="AS4" s="37">
        <v>279703.96999999997</v>
      </c>
      <c r="AT4" s="37">
        <v>279703.96999999997</v>
      </c>
      <c r="AU4" s="37">
        <v>279703.96999999997</v>
      </c>
      <c r="AV4" s="37">
        <v>279703.96999999997</v>
      </c>
      <c r="AW4" s="37">
        <v>279703.96999999997</v>
      </c>
      <c r="AX4" s="37">
        <v>279703.96999999997</v>
      </c>
      <c r="AY4" s="37">
        <v>280353</v>
      </c>
      <c r="AZ4" s="36">
        <v>280353</v>
      </c>
      <c r="BA4" s="36">
        <v>280353</v>
      </c>
      <c r="BB4" s="36">
        <v>280353</v>
      </c>
      <c r="BC4" s="36">
        <v>280353</v>
      </c>
      <c r="BD4" s="36">
        <v>280353</v>
      </c>
      <c r="BE4" s="36">
        <v>280353</v>
      </c>
      <c r="BF4" s="36">
        <v>280353</v>
      </c>
      <c r="BG4" s="36">
        <v>280353</v>
      </c>
      <c r="BH4" s="36">
        <v>279557.82</v>
      </c>
      <c r="BI4" s="36">
        <v>280207</v>
      </c>
      <c r="BJ4" s="36">
        <v>280207</v>
      </c>
      <c r="BK4" s="36">
        <v>280207</v>
      </c>
      <c r="BL4" s="36">
        <v>280207.82</v>
      </c>
      <c r="BM4" s="36">
        <v>280207.82</v>
      </c>
      <c r="BN4" s="36">
        <v>280207.82</v>
      </c>
      <c r="BO4" s="36">
        <v>280207.82</v>
      </c>
      <c r="BP4" s="36">
        <v>280207.82</v>
      </c>
      <c r="BQ4" s="36">
        <v>280207.82</v>
      </c>
      <c r="BR4" s="36">
        <v>280207.82</v>
      </c>
      <c r="BS4" s="36">
        <v>280207.82</v>
      </c>
      <c r="BT4" s="36">
        <v>280857</v>
      </c>
      <c r="BU4" s="36">
        <v>280857</v>
      </c>
      <c r="BV4" s="36">
        <v>280857</v>
      </c>
      <c r="BW4" s="36">
        <v>280857</v>
      </c>
      <c r="BX4" s="36">
        <v>280857</v>
      </c>
      <c r="BY4" s="36">
        <v>280857</v>
      </c>
      <c r="BZ4" s="36">
        <v>280857</v>
      </c>
      <c r="CA4" s="36">
        <v>280857</v>
      </c>
      <c r="CB4" s="36">
        <v>280857</v>
      </c>
      <c r="CC4" s="36">
        <v>280857</v>
      </c>
      <c r="CD4" s="36">
        <v>280857</v>
      </c>
      <c r="CE4" s="36">
        <v>280857</v>
      </c>
      <c r="CF4" s="36">
        <v>280857</v>
      </c>
      <c r="CG4" s="36">
        <v>280857</v>
      </c>
      <c r="CH4" s="36">
        <v>280857</v>
      </c>
      <c r="CI4" s="36">
        <v>281507</v>
      </c>
      <c r="CJ4" s="36">
        <v>281507</v>
      </c>
      <c r="CK4" s="36">
        <v>281507</v>
      </c>
      <c r="CL4" s="36">
        <v>281507</v>
      </c>
      <c r="CM4" s="36">
        <v>281507</v>
      </c>
      <c r="CN4" s="36">
        <v>279700.82</v>
      </c>
      <c r="CO4" s="36">
        <v>279700.82</v>
      </c>
      <c r="CP4" s="36">
        <v>279700.82</v>
      </c>
      <c r="CQ4" s="36">
        <v>279700.82</v>
      </c>
      <c r="CR4" s="36">
        <v>279700.82</v>
      </c>
      <c r="CS4" s="36">
        <v>279700.82</v>
      </c>
      <c r="CT4" s="36">
        <v>279700.82</v>
      </c>
      <c r="CU4" s="36">
        <v>284778.46999999997</v>
      </c>
      <c r="CV4" s="36">
        <v>284778.46999999997</v>
      </c>
      <c r="CW4" s="36">
        <v>284778.46999999997</v>
      </c>
      <c r="CX4" s="36">
        <v>284778.46999999997</v>
      </c>
      <c r="CY4" s="36">
        <v>284778.46999999997</v>
      </c>
      <c r="CZ4" s="36">
        <v>284778.46999999997</v>
      </c>
      <c r="DA4" s="36">
        <v>284778.46999999997</v>
      </c>
      <c r="DB4" s="36">
        <v>284778.46999999997</v>
      </c>
      <c r="DC4" s="36">
        <v>287891.63</v>
      </c>
      <c r="DD4" s="36">
        <v>287891.63</v>
      </c>
      <c r="DE4" s="36">
        <v>287891.63</v>
      </c>
      <c r="DF4" s="36">
        <v>287891.63</v>
      </c>
      <c r="DG4" s="36">
        <v>289751.23</v>
      </c>
      <c r="DH4" s="36">
        <v>289751.23</v>
      </c>
      <c r="DI4" s="36">
        <v>289751.23</v>
      </c>
      <c r="DJ4" s="36">
        <v>289751.23</v>
      </c>
      <c r="DK4" s="36">
        <v>289751.23</v>
      </c>
      <c r="DL4" s="36">
        <v>289751.23</v>
      </c>
      <c r="DM4" s="36">
        <v>289751.23</v>
      </c>
      <c r="DN4" s="36">
        <v>289751.23</v>
      </c>
      <c r="DO4" s="36">
        <v>289751.23</v>
      </c>
      <c r="DP4" s="36">
        <v>291263.65999999997</v>
      </c>
      <c r="DQ4" s="36">
        <v>291263.65999999997</v>
      </c>
      <c r="DR4" s="36">
        <v>291263.65999999997</v>
      </c>
      <c r="DS4" s="36">
        <v>291263.65999999997</v>
      </c>
      <c r="DT4" s="36">
        <v>291263.65999999997</v>
      </c>
      <c r="DU4" s="36">
        <v>291263.65999999997</v>
      </c>
      <c r="DV4" s="36">
        <v>291263.65999999997</v>
      </c>
      <c r="DW4" s="36">
        <v>291263.65999999997</v>
      </c>
      <c r="DX4" s="36">
        <v>291263.65999999997</v>
      </c>
      <c r="DY4" s="36">
        <v>291263.65999999997</v>
      </c>
      <c r="DZ4" s="36">
        <v>291263.65999999997</v>
      </c>
      <c r="EA4" s="36">
        <v>299649.39</v>
      </c>
      <c r="EB4" s="36">
        <v>299649.39</v>
      </c>
      <c r="EC4" s="36">
        <v>299649.39</v>
      </c>
      <c r="ED4" s="36">
        <v>299649.39</v>
      </c>
      <c r="EE4" s="36">
        <v>299649.39</v>
      </c>
      <c r="EF4" s="36">
        <v>299649.39</v>
      </c>
      <c r="EG4" s="36">
        <v>299649.39</v>
      </c>
      <c r="EH4" s="36">
        <v>299649.39</v>
      </c>
      <c r="EI4" s="36">
        <v>299649.39</v>
      </c>
      <c r="EJ4" s="36">
        <v>301600.39</v>
      </c>
      <c r="EK4" s="36">
        <v>301600.39</v>
      </c>
      <c r="EL4" s="36">
        <v>301600.39</v>
      </c>
      <c r="EM4" s="36">
        <v>301600.39</v>
      </c>
      <c r="EN4" s="36">
        <v>301600.39</v>
      </c>
      <c r="EO4" s="36">
        <v>301600.39</v>
      </c>
      <c r="EP4" s="36">
        <v>301600.39</v>
      </c>
      <c r="EQ4" s="36">
        <v>301600.39</v>
      </c>
      <c r="ER4" s="36">
        <v>301600.39</v>
      </c>
      <c r="ES4" s="7">
        <v>306622.99</v>
      </c>
      <c r="ET4" s="7">
        <v>306622.99</v>
      </c>
      <c r="EU4" s="7">
        <v>306622.99</v>
      </c>
      <c r="EV4" s="7">
        <v>306622.99</v>
      </c>
      <c r="EW4" s="7">
        <v>306622.99</v>
      </c>
      <c r="EX4" s="7">
        <v>306601.37</v>
      </c>
      <c r="EY4" s="7">
        <v>306601.37</v>
      </c>
      <c r="EZ4" s="7">
        <v>308921.74</v>
      </c>
      <c r="FA4" s="7">
        <v>308921.74</v>
      </c>
      <c r="FB4" s="7">
        <v>308921.74</v>
      </c>
      <c r="FC4" s="7">
        <v>308921.74</v>
      </c>
      <c r="FD4" s="7">
        <v>308921.74</v>
      </c>
      <c r="FE4" s="7">
        <v>308921.74</v>
      </c>
      <c r="FF4" s="7">
        <v>308921.74</v>
      </c>
      <c r="FG4" s="7">
        <v>308921.74</v>
      </c>
      <c r="FH4" s="7">
        <v>308921.74</v>
      </c>
      <c r="FI4" s="7">
        <v>308921.74</v>
      </c>
      <c r="FJ4" s="7">
        <v>308921.74</v>
      </c>
      <c r="FK4" s="7">
        <v>308921.74</v>
      </c>
      <c r="FL4" s="7">
        <v>317232.39</v>
      </c>
      <c r="FM4" s="7">
        <v>317232.39</v>
      </c>
      <c r="FN4" s="7">
        <v>317232.39</v>
      </c>
      <c r="FO4" s="7">
        <v>317232.39</v>
      </c>
      <c r="FP4" s="7">
        <v>317232.39</v>
      </c>
      <c r="FQ4" s="7">
        <v>317232.39</v>
      </c>
      <c r="FR4" s="7">
        <v>317232.39</v>
      </c>
      <c r="FS4" s="7">
        <v>317232.39</v>
      </c>
      <c r="FT4" s="7">
        <v>318307.90000000002</v>
      </c>
      <c r="FU4" s="7">
        <v>318307.90000000002</v>
      </c>
      <c r="FV4" s="7">
        <v>318307.90000000002</v>
      </c>
      <c r="FW4" s="7">
        <v>318307.90000000002</v>
      </c>
      <c r="FX4" s="7">
        <v>318307.90000000002</v>
      </c>
      <c r="FY4" s="7">
        <v>318307.90000000002</v>
      </c>
      <c r="FZ4" s="7">
        <v>318307.90000000002</v>
      </c>
      <c r="GA4" s="7">
        <v>320894.96999999997</v>
      </c>
      <c r="GB4" s="7">
        <v>320894.96999999997</v>
      </c>
      <c r="GC4" s="7">
        <v>318777.49</v>
      </c>
      <c r="GD4" s="7">
        <v>318777.49</v>
      </c>
      <c r="GE4" s="7">
        <v>318777.49</v>
      </c>
      <c r="GF4" s="7">
        <v>318777.49</v>
      </c>
      <c r="GG4" s="7">
        <v>318777.49</v>
      </c>
      <c r="GH4" s="7">
        <v>318777.49</v>
      </c>
      <c r="GI4" s="7">
        <v>318777.49</v>
      </c>
      <c r="GJ4" s="7">
        <v>318777.49</v>
      </c>
      <c r="GK4" s="7">
        <v>324131.62</v>
      </c>
      <c r="GL4" s="7">
        <v>324131.62</v>
      </c>
      <c r="GM4" s="7">
        <v>324131.62</v>
      </c>
      <c r="GN4" s="7">
        <v>324131.62</v>
      </c>
      <c r="GO4" s="7">
        <v>324131.62</v>
      </c>
      <c r="GP4" s="7">
        <v>324131.62</v>
      </c>
      <c r="GQ4" s="7">
        <v>324131.62</v>
      </c>
      <c r="GR4" s="7">
        <v>324131.62</v>
      </c>
      <c r="GS4" s="7">
        <v>324131.62</v>
      </c>
      <c r="GT4" s="7">
        <v>324131.62</v>
      </c>
      <c r="GU4" s="7">
        <v>324528.89</v>
      </c>
      <c r="GV4" s="7">
        <v>324528.89</v>
      </c>
      <c r="GW4" s="7">
        <v>326577.95</v>
      </c>
      <c r="GX4" s="7">
        <v>326577.95</v>
      </c>
      <c r="GY4" s="7">
        <v>326577.95</v>
      </c>
      <c r="GZ4" s="7">
        <v>326577.95</v>
      </c>
      <c r="HA4" s="7">
        <v>326577.95</v>
      </c>
      <c r="HB4" s="7">
        <v>326577.95</v>
      </c>
      <c r="HC4" s="7">
        <v>326577.95</v>
      </c>
      <c r="HD4" s="7">
        <v>326577.95</v>
      </c>
      <c r="HE4" s="7">
        <v>323845.45</v>
      </c>
      <c r="HF4" s="7">
        <v>323845.45</v>
      </c>
      <c r="HG4" s="7">
        <v>323845.45</v>
      </c>
      <c r="HH4" s="7">
        <v>323845.45</v>
      </c>
      <c r="HI4" s="7">
        <v>323845.45</v>
      </c>
      <c r="HJ4" s="7">
        <v>331373.06</v>
      </c>
      <c r="HK4" s="7">
        <v>331919.96999999997</v>
      </c>
      <c r="HL4" s="7">
        <v>331919.96999999997</v>
      </c>
      <c r="HM4" s="7">
        <v>331919.96999999997</v>
      </c>
      <c r="HN4" s="7">
        <v>331919.96999999997</v>
      </c>
      <c r="HO4" s="7">
        <v>332186.90000000002</v>
      </c>
      <c r="HP4" s="7">
        <v>332049</v>
      </c>
      <c r="HQ4" s="7">
        <v>332049</v>
      </c>
      <c r="HR4" s="7">
        <v>332049</v>
      </c>
      <c r="HS4" s="7">
        <v>332049</v>
      </c>
      <c r="HT4" s="7">
        <v>335325.53000000003</v>
      </c>
      <c r="HU4" s="7">
        <v>335325.53000000003</v>
      </c>
      <c r="HV4" s="7">
        <v>335325.53000000003</v>
      </c>
      <c r="HW4" s="7">
        <v>335325.53000000003</v>
      </c>
      <c r="HX4" s="7">
        <v>335325.53000000003</v>
      </c>
      <c r="HY4" s="7">
        <v>331736.15999999997</v>
      </c>
      <c r="HZ4" s="7">
        <v>331736.15999999997</v>
      </c>
      <c r="IA4" s="7">
        <v>315175.31</v>
      </c>
      <c r="IB4" s="7">
        <v>315175.31</v>
      </c>
      <c r="IC4" s="7">
        <v>316129.19</v>
      </c>
      <c r="ID4" s="7">
        <v>316865.71000000002</v>
      </c>
      <c r="IE4" s="7">
        <v>339026.67</v>
      </c>
      <c r="IF4" s="7">
        <v>339026.67</v>
      </c>
      <c r="IG4" s="7">
        <v>339026.67</v>
      </c>
      <c r="IH4" s="7">
        <v>339178.49</v>
      </c>
      <c r="II4" s="7">
        <v>338742.71</v>
      </c>
      <c r="IJ4" s="7">
        <v>338595.93</v>
      </c>
      <c r="IK4" s="7">
        <v>338356.6</v>
      </c>
      <c r="IL4" s="7">
        <v>338356.6</v>
      </c>
      <c r="IM4" s="7">
        <v>340111.91</v>
      </c>
      <c r="IN4" s="7">
        <v>341145.44</v>
      </c>
      <c r="IO4" s="7">
        <v>340688.21</v>
      </c>
      <c r="IP4" s="7">
        <v>341870.56</v>
      </c>
      <c r="IQ4" s="7">
        <v>344298.36</v>
      </c>
      <c r="IR4" s="7">
        <v>344004.01</v>
      </c>
      <c r="IS4" s="7">
        <v>343870.43</v>
      </c>
      <c r="IT4" s="7">
        <v>344003.84000000003</v>
      </c>
      <c r="IU4" s="7">
        <v>343862.8</v>
      </c>
      <c r="IV4" s="7">
        <v>340335.2</v>
      </c>
      <c r="IW4" s="7">
        <v>342535.61</v>
      </c>
      <c r="IX4" s="7">
        <v>343692.47</v>
      </c>
      <c r="IY4" s="7">
        <v>346849.8</v>
      </c>
      <c r="IZ4" s="7">
        <v>348117.15</v>
      </c>
      <c r="JA4" s="7">
        <v>347814.95</v>
      </c>
      <c r="JB4" s="7">
        <v>347822.78</v>
      </c>
      <c r="JC4" s="7">
        <v>346506.46</v>
      </c>
      <c r="JD4" s="7">
        <v>347255.53</v>
      </c>
      <c r="JE4" s="7">
        <v>346681.55</v>
      </c>
      <c r="JF4" s="7">
        <v>345983.04</v>
      </c>
      <c r="JG4" s="7">
        <v>344364.15</v>
      </c>
      <c r="JH4" s="7">
        <v>347682.06</v>
      </c>
      <c r="JI4" s="7">
        <v>348919.18</v>
      </c>
      <c r="JJ4" s="7">
        <v>349096.67</v>
      </c>
      <c r="JK4" s="7">
        <v>349260.5</v>
      </c>
      <c r="JL4" s="7">
        <v>347381.39</v>
      </c>
      <c r="JM4" s="7">
        <v>347381.39</v>
      </c>
    </row>
    <row r="5" spans="1:273" x14ac:dyDescent="0.35">
      <c r="B5" s="13"/>
      <c r="C5" s="38"/>
      <c r="D5" s="37"/>
      <c r="E5" s="37"/>
      <c r="F5" s="37"/>
      <c r="G5" s="37"/>
      <c r="H5" s="38"/>
      <c r="I5" s="37"/>
      <c r="J5" s="37"/>
      <c r="K5" s="37"/>
      <c r="L5" s="37"/>
      <c r="M5" s="37"/>
      <c r="N5" s="37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</row>
    <row r="6" spans="1:273" x14ac:dyDescent="0.35">
      <c r="B6" s="225" t="s">
        <v>17</v>
      </c>
      <c r="C6" s="37">
        <f>SUM(C2:C4)</f>
        <v>1264439.8999999999</v>
      </c>
      <c r="D6" s="37">
        <f t="shared" ref="D6:J6" si="0">SUM(D2:D4)</f>
        <v>1240388</v>
      </c>
      <c r="E6" s="37">
        <f t="shared" si="0"/>
        <v>1233794</v>
      </c>
      <c r="F6" s="37">
        <f t="shared" si="0"/>
        <v>1243751</v>
      </c>
      <c r="G6" s="37">
        <f t="shared" si="0"/>
        <v>1242998</v>
      </c>
      <c r="H6" s="37">
        <f t="shared" si="0"/>
        <v>1241503</v>
      </c>
      <c r="I6" s="37">
        <f t="shared" si="0"/>
        <v>1242733</v>
      </c>
      <c r="J6" s="37">
        <f t="shared" si="0"/>
        <v>1247869</v>
      </c>
      <c r="K6" s="37">
        <f t="shared" ref="K6:AS6" si="1">SUM(K$2:K$4)</f>
        <v>1249132</v>
      </c>
      <c r="L6" s="37">
        <f t="shared" si="1"/>
        <v>1244506</v>
      </c>
      <c r="M6" s="37">
        <f t="shared" si="1"/>
        <v>1241728</v>
      </c>
      <c r="N6" s="37">
        <f t="shared" si="1"/>
        <v>1233126</v>
      </c>
      <c r="O6" s="37">
        <f t="shared" si="1"/>
        <v>1240573</v>
      </c>
      <c r="P6" s="37">
        <f t="shared" si="1"/>
        <v>1249278</v>
      </c>
      <c r="Q6" s="37">
        <f t="shared" si="1"/>
        <v>1253104</v>
      </c>
      <c r="R6" s="37">
        <f t="shared" si="1"/>
        <v>1254819</v>
      </c>
      <c r="S6" s="226">
        <f t="shared" si="1"/>
        <v>1254656</v>
      </c>
      <c r="T6" s="37">
        <f t="shared" si="1"/>
        <v>1257091</v>
      </c>
      <c r="U6" s="37">
        <f t="shared" si="1"/>
        <v>1264537</v>
      </c>
      <c r="V6" s="37">
        <f t="shared" si="1"/>
        <v>1267291</v>
      </c>
      <c r="W6" s="37">
        <f t="shared" si="1"/>
        <v>1264504</v>
      </c>
      <c r="X6" s="37">
        <f t="shared" si="1"/>
        <v>1265491</v>
      </c>
      <c r="Y6" s="37">
        <f t="shared" si="1"/>
        <v>1269266</v>
      </c>
      <c r="Z6" s="37">
        <f t="shared" si="1"/>
        <v>1265863</v>
      </c>
      <c r="AA6" s="37">
        <f t="shared" si="1"/>
        <v>1261279</v>
      </c>
      <c r="AB6" s="37">
        <f t="shared" si="1"/>
        <v>1271504</v>
      </c>
      <c r="AC6" s="37">
        <f t="shared" si="1"/>
        <v>1273861</v>
      </c>
      <c r="AD6" s="37">
        <f t="shared" si="1"/>
        <v>1272554</v>
      </c>
      <c r="AE6" s="37">
        <f t="shared" si="1"/>
        <v>1279960</v>
      </c>
      <c r="AF6" s="37">
        <f t="shared" si="1"/>
        <v>1282511</v>
      </c>
      <c r="AG6" s="37">
        <f t="shared" si="1"/>
        <v>1281450</v>
      </c>
      <c r="AH6" s="37">
        <f t="shared" si="1"/>
        <v>1287859</v>
      </c>
      <c r="AI6" s="37">
        <f t="shared" si="1"/>
        <v>1287850</v>
      </c>
      <c r="AJ6" s="37">
        <f t="shared" si="1"/>
        <v>1287551</v>
      </c>
      <c r="AK6" s="37">
        <f t="shared" si="1"/>
        <v>1291504</v>
      </c>
      <c r="AL6" s="37">
        <f t="shared" si="1"/>
        <v>1290479</v>
      </c>
      <c r="AM6" s="37">
        <f t="shared" si="1"/>
        <v>1283153</v>
      </c>
      <c r="AN6" s="37">
        <f t="shared" si="1"/>
        <v>1282126</v>
      </c>
      <c r="AO6" s="37">
        <f t="shared" si="1"/>
        <v>1280724</v>
      </c>
      <c r="AP6" s="37">
        <f t="shared" si="1"/>
        <v>1281997</v>
      </c>
      <c r="AQ6" s="37">
        <f t="shared" si="1"/>
        <v>1283510</v>
      </c>
      <c r="AR6" s="37">
        <f t="shared" si="1"/>
        <v>1275893</v>
      </c>
      <c r="AS6" s="37">
        <f t="shared" si="1"/>
        <v>1278972.97</v>
      </c>
      <c r="AT6" s="37">
        <f t="shared" ref="AT6:EI6" si="2">SUM(AT$2:AT$4)</f>
        <v>1279759.97</v>
      </c>
      <c r="AU6" s="37">
        <f t="shared" si="2"/>
        <v>1280021.97</v>
      </c>
      <c r="AV6" s="37">
        <f t="shared" si="2"/>
        <v>1268682.97</v>
      </c>
      <c r="AW6" s="37">
        <f t="shared" si="2"/>
        <v>1274348.97</v>
      </c>
      <c r="AX6" s="37">
        <f t="shared" si="2"/>
        <v>1267109.97</v>
      </c>
      <c r="AY6" s="37">
        <f t="shared" si="2"/>
        <v>1267421</v>
      </c>
      <c r="AZ6" s="37">
        <f t="shared" si="2"/>
        <v>1269159</v>
      </c>
      <c r="BA6" s="37">
        <f t="shared" si="2"/>
        <v>1255032</v>
      </c>
      <c r="BB6" s="37">
        <f t="shared" si="2"/>
        <v>1251741</v>
      </c>
      <c r="BC6" s="37">
        <f t="shared" si="2"/>
        <v>1247055</v>
      </c>
      <c r="BD6" s="37">
        <f t="shared" si="2"/>
        <v>1257081</v>
      </c>
      <c r="BE6" s="37">
        <f t="shared" si="2"/>
        <v>1262454</v>
      </c>
      <c r="BF6" s="37">
        <f t="shared" si="2"/>
        <v>1259680</v>
      </c>
      <c r="BG6" s="37">
        <f t="shared" si="2"/>
        <v>1264233</v>
      </c>
      <c r="BH6" s="37">
        <f t="shared" si="2"/>
        <v>1262701.82</v>
      </c>
      <c r="BI6" s="37">
        <f t="shared" si="2"/>
        <v>1261419.97</v>
      </c>
      <c r="BJ6" s="37">
        <f t="shared" si="2"/>
        <v>1266355</v>
      </c>
      <c r="BK6" s="37">
        <f t="shared" si="2"/>
        <v>1269501</v>
      </c>
      <c r="BL6" s="37">
        <f t="shared" si="2"/>
        <v>1262196.82</v>
      </c>
      <c r="BM6" s="37">
        <f t="shared" si="2"/>
        <v>1260139.82</v>
      </c>
      <c r="BN6" s="37">
        <f t="shared" si="2"/>
        <v>1253360.82</v>
      </c>
      <c r="BO6" s="37">
        <f t="shared" si="2"/>
        <v>1252496.82</v>
      </c>
      <c r="BP6" s="37">
        <f t="shared" si="2"/>
        <v>1254734.82</v>
      </c>
      <c r="BQ6" s="37">
        <f t="shared" si="2"/>
        <v>1260451.49</v>
      </c>
      <c r="BR6" s="37">
        <f t="shared" si="2"/>
        <v>1241673.82</v>
      </c>
      <c r="BS6" s="37">
        <f t="shared" si="2"/>
        <v>1205997.82</v>
      </c>
      <c r="BT6" s="37">
        <f t="shared" si="2"/>
        <v>1197809</v>
      </c>
      <c r="BU6" s="80">
        <f t="shared" si="2"/>
        <v>1185822</v>
      </c>
      <c r="BV6" s="37">
        <f t="shared" si="2"/>
        <v>1250115.48</v>
      </c>
      <c r="BW6" s="37">
        <f t="shared" si="2"/>
        <v>1224230</v>
      </c>
      <c r="BX6" s="37">
        <f t="shared" si="2"/>
        <v>1232388</v>
      </c>
      <c r="BY6" s="37">
        <f t="shared" si="2"/>
        <v>1238892.76</v>
      </c>
      <c r="BZ6" s="37">
        <f t="shared" si="2"/>
        <v>1247125.1400000001</v>
      </c>
      <c r="CA6" s="37">
        <f t="shared" si="2"/>
        <v>1248896.8700000001</v>
      </c>
      <c r="CB6" s="37">
        <f t="shared" si="2"/>
        <v>1244551.4300000002</v>
      </c>
      <c r="CC6" s="37">
        <f t="shared" si="2"/>
        <v>1240995.26</v>
      </c>
      <c r="CD6" s="37">
        <f t="shared" si="2"/>
        <v>1240995.26</v>
      </c>
      <c r="CE6" s="37">
        <f t="shared" si="2"/>
        <v>1225820.57</v>
      </c>
      <c r="CF6" s="37">
        <f t="shared" si="2"/>
        <v>1244302.8600000001</v>
      </c>
      <c r="CG6" s="37">
        <f t="shared" si="2"/>
        <v>1255260.0900000001</v>
      </c>
      <c r="CH6" s="37">
        <f t="shared" si="2"/>
        <v>1271271.8699999999</v>
      </c>
      <c r="CI6" s="37">
        <f t="shared" si="2"/>
        <v>1275660.1200000001</v>
      </c>
      <c r="CJ6" s="37">
        <f t="shared" si="2"/>
        <v>1278560.1000000001</v>
      </c>
      <c r="CK6" s="37">
        <f t="shared" si="2"/>
        <v>1283023.3599999999</v>
      </c>
      <c r="CL6" s="37">
        <f t="shared" si="2"/>
        <v>1283636.68</v>
      </c>
      <c r="CM6" s="37">
        <f t="shared" si="2"/>
        <v>1286086.51</v>
      </c>
      <c r="CN6" s="37">
        <f t="shared" si="2"/>
        <v>1298459.71</v>
      </c>
      <c r="CO6" s="37">
        <f t="shared" si="2"/>
        <v>1295446.27</v>
      </c>
      <c r="CP6" s="37">
        <f t="shared" si="2"/>
        <v>1290413.02</v>
      </c>
      <c r="CQ6" s="37">
        <f t="shared" si="2"/>
        <v>1292292.0900000001</v>
      </c>
      <c r="CR6" s="37">
        <f t="shared" si="2"/>
        <v>1297174.0900000001</v>
      </c>
      <c r="CS6" s="37">
        <f t="shared" si="2"/>
        <v>1297862.03</v>
      </c>
      <c r="CT6" s="37">
        <f t="shared" si="2"/>
        <v>1320030.1599999999</v>
      </c>
      <c r="CU6">
        <f t="shared" si="2"/>
        <v>1329419.01</v>
      </c>
      <c r="CV6" s="37">
        <f t="shared" si="2"/>
        <v>1327869.56</v>
      </c>
      <c r="CW6" s="37">
        <f t="shared" si="2"/>
        <v>1332482.02</v>
      </c>
      <c r="CX6" s="37">
        <f t="shared" si="2"/>
        <v>1321074.97</v>
      </c>
      <c r="CY6" s="37">
        <f t="shared" si="2"/>
        <v>1330796.3799999999</v>
      </c>
      <c r="CZ6" s="37">
        <f t="shared" si="2"/>
        <v>1331041.25</v>
      </c>
      <c r="DA6" s="7">
        <f t="shared" si="2"/>
        <v>1334498.57</v>
      </c>
      <c r="DB6" s="63">
        <f t="shared" si="2"/>
        <v>1335400.01</v>
      </c>
      <c r="DC6" s="63">
        <f t="shared" si="2"/>
        <v>1342653.7400000002</v>
      </c>
      <c r="DD6" s="63">
        <f t="shared" si="2"/>
        <v>1346577.1400000001</v>
      </c>
      <c r="DE6" s="63">
        <f t="shared" si="2"/>
        <v>1348330.92</v>
      </c>
      <c r="DF6" s="64">
        <f t="shared" si="2"/>
        <v>1346024.33</v>
      </c>
      <c r="DG6" s="63">
        <f t="shared" si="2"/>
        <v>1353566.13</v>
      </c>
      <c r="DH6" s="63">
        <f t="shared" si="2"/>
        <v>1354524.78</v>
      </c>
      <c r="DI6" s="63">
        <f t="shared" si="2"/>
        <v>1358089.99</v>
      </c>
      <c r="DJ6" s="63">
        <f t="shared" si="2"/>
        <v>1356963.79</v>
      </c>
      <c r="DK6" s="63">
        <f t="shared" si="2"/>
        <v>1360818.5699999998</v>
      </c>
      <c r="DL6" s="63">
        <f t="shared" si="2"/>
        <v>1348619.43</v>
      </c>
      <c r="DM6" s="63">
        <f t="shared" si="2"/>
        <v>1355537.3299999998</v>
      </c>
      <c r="DN6" s="63">
        <f t="shared" si="2"/>
        <v>1347503.71</v>
      </c>
      <c r="DO6" s="63">
        <f t="shared" si="2"/>
        <v>1347951.47</v>
      </c>
      <c r="DP6" s="63">
        <f t="shared" si="2"/>
        <v>1346603</v>
      </c>
      <c r="DQ6" s="63">
        <f t="shared" si="2"/>
        <v>1360268.0899999999</v>
      </c>
      <c r="DR6" s="63">
        <f t="shared" si="2"/>
        <v>1366714.3099999998</v>
      </c>
      <c r="DS6" s="63">
        <f t="shared" si="2"/>
        <v>1365424.65</v>
      </c>
      <c r="DT6" s="63">
        <f t="shared" si="2"/>
        <v>1373341.1099999999</v>
      </c>
      <c r="DU6" s="63">
        <f t="shared" si="2"/>
        <v>1377647.99</v>
      </c>
      <c r="DV6" s="63">
        <f t="shared" si="2"/>
        <v>1381084.8699999999</v>
      </c>
      <c r="DW6" s="63">
        <f t="shared" si="2"/>
        <v>1387253.17</v>
      </c>
      <c r="DX6" s="63">
        <f t="shared" si="2"/>
        <v>1383995.74</v>
      </c>
      <c r="DY6" s="63">
        <f t="shared" si="2"/>
        <v>1383297.43</v>
      </c>
      <c r="DZ6" s="63">
        <f t="shared" si="2"/>
        <v>1389593.7699999998</v>
      </c>
      <c r="EA6" s="63">
        <f t="shared" si="2"/>
        <v>1397268.81</v>
      </c>
      <c r="EB6" s="63">
        <f t="shared" si="2"/>
        <v>1398552.3599999999</v>
      </c>
      <c r="EC6" s="63">
        <f t="shared" si="2"/>
        <v>1402162.1099999999</v>
      </c>
      <c r="ED6" s="91">
        <f t="shared" si="2"/>
        <v>1411860.4900000002</v>
      </c>
      <c r="EE6" s="63">
        <f t="shared" si="2"/>
        <v>1409484.87</v>
      </c>
      <c r="EF6" s="63">
        <f t="shared" si="2"/>
        <v>1413237.52</v>
      </c>
      <c r="EG6" s="63">
        <f t="shared" si="2"/>
        <v>1408739.77</v>
      </c>
      <c r="EH6" s="63">
        <f t="shared" si="2"/>
        <v>1407454.5700000003</v>
      </c>
      <c r="EI6" s="63">
        <f t="shared" si="2"/>
        <v>1403261.8200000003</v>
      </c>
      <c r="EJ6" s="63">
        <f t="shared" ref="EJ6:GO6" si="3">SUM(EJ$2:EJ$4)</f>
        <v>1399463.67</v>
      </c>
      <c r="EK6" s="63">
        <f t="shared" si="3"/>
        <v>1389397.08</v>
      </c>
      <c r="EL6" s="63">
        <f t="shared" si="3"/>
        <v>1402886.19</v>
      </c>
      <c r="EM6" s="63">
        <f t="shared" si="3"/>
        <v>1400375.7200000002</v>
      </c>
      <c r="EN6" s="63">
        <f t="shared" si="3"/>
        <v>1403422.4900000002</v>
      </c>
      <c r="EO6" s="63">
        <f t="shared" si="3"/>
        <v>1404943.5</v>
      </c>
      <c r="EP6" s="63">
        <f>SUM(EP$2:EP$4)</f>
        <v>1408358.33</v>
      </c>
      <c r="EQ6" s="63">
        <f t="shared" si="3"/>
        <v>1405333.8199999998</v>
      </c>
      <c r="ER6" s="63">
        <f t="shared" si="3"/>
        <v>1417532.6</v>
      </c>
      <c r="ES6" s="91">
        <f t="shared" si="3"/>
        <v>1429241.42</v>
      </c>
      <c r="ET6" s="63">
        <f t="shared" si="3"/>
        <v>1425924.29</v>
      </c>
      <c r="EU6" s="63">
        <f t="shared" si="3"/>
        <v>1424956.6199999999</v>
      </c>
      <c r="EV6" s="63">
        <f t="shared" si="3"/>
        <v>1425087.8</v>
      </c>
      <c r="EW6" s="63">
        <f t="shared" si="3"/>
        <v>1422313</v>
      </c>
      <c r="EX6" s="63">
        <f t="shared" si="3"/>
        <v>1421022.1</v>
      </c>
      <c r="EY6" s="63">
        <f t="shared" si="3"/>
        <v>1417593.9</v>
      </c>
      <c r="EZ6" s="63">
        <f t="shared" si="3"/>
        <v>1437476.6300000001</v>
      </c>
      <c r="FA6" s="91">
        <f t="shared" si="3"/>
        <v>1430675.99</v>
      </c>
      <c r="FB6" s="91">
        <f t="shared" si="3"/>
        <v>1433574.46</v>
      </c>
      <c r="FC6" s="91">
        <f t="shared" si="3"/>
        <v>1435466.68</v>
      </c>
      <c r="FD6" s="103">
        <f t="shared" si="3"/>
        <v>1438887.02</v>
      </c>
      <c r="FE6" s="103">
        <f t="shared" si="3"/>
        <v>1434453.7</v>
      </c>
      <c r="FF6" s="103">
        <f t="shared" si="3"/>
        <v>1426604.5999999999</v>
      </c>
      <c r="FG6" s="103">
        <f t="shared" si="3"/>
        <v>1429379.07</v>
      </c>
      <c r="FH6" s="103">
        <f t="shared" si="3"/>
        <v>1437550.7</v>
      </c>
      <c r="FI6" s="103">
        <f t="shared" si="3"/>
        <v>1448042.35</v>
      </c>
      <c r="FJ6" s="103">
        <f t="shared" si="3"/>
        <v>1450467.28</v>
      </c>
      <c r="FK6" s="103">
        <f t="shared" si="3"/>
        <v>1451356.03</v>
      </c>
      <c r="FL6" s="103">
        <f t="shared" si="3"/>
        <v>1457271.0700000003</v>
      </c>
      <c r="FM6" s="103">
        <f t="shared" si="3"/>
        <v>1462950.48</v>
      </c>
      <c r="FN6" s="103">
        <f t="shared" si="3"/>
        <v>1463277.0899999999</v>
      </c>
      <c r="FO6" s="103">
        <f t="shared" si="3"/>
        <v>1466357.7400000002</v>
      </c>
      <c r="FP6" s="103">
        <f t="shared" si="3"/>
        <v>1463537.8400000003</v>
      </c>
      <c r="FQ6" s="103">
        <f t="shared" si="3"/>
        <v>1458338.4300000002</v>
      </c>
      <c r="FR6" s="103">
        <f t="shared" si="3"/>
        <v>1451751.48</v>
      </c>
      <c r="FS6" s="103">
        <f t="shared" si="3"/>
        <v>1458345.9500000002</v>
      </c>
      <c r="FT6" s="103">
        <f t="shared" si="3"/>
        <v>1461764.9700000002</v>
      </c>
      <c r="FU6" s="103">
        <f t="shared" si="3"/>
        <v>1464601.23</v>
      </c>
      <c r="FV6" s="103">
        <f t="shared" si="3"/>
        <v>1469937.17</v>
      </c>
      <c r="FW6" s="103">
        <f t="shared" si="3"/>
        <v>1471063.37</v>
      </c>
      <c r="FX6" s="103">
        <f t="shared" si="3"/>
        <v>1474740.1400000001</v>
      </c>
      <c r="FY6" s="103">
        <f t="shared" si="3"/>
        <v>1477163.79</v>
      </c>
      <c r="FZ6" s="103">
        <f t="shared" si="3"/>
        <v>1470032.0899999999</v>
      </c>
      <c r="GA6" s="103">
        <f t="shared" si="3"/>
        <v>1475333.86</v>
      </c>
      <c r="GB6" s="103">
        <f t="shared" si="3"/>
        <v>1472805.05</v>
      </c>
      <c r="GC6" s="103">
        <f t="shared" si="3"/>
        <v>1446022.95</v>
      </c>
      <c r="GD6" s="103">
        <f t="shared" si="3"/>
        <v>1460060.0599999998</v>
      </c>
      <c r="GE6" s="103">
        <f t="shared" si="3"/>
        <v>1462057.17</v>
      </c>
      <c r="GF6" s="103">
        <f t="shared" si="3"/>
        <v>1466100.49</v>
      </c>
      <c r="GG6" s="103">
        <f t="shared" si="3"/>
        <v>1461261.71</v>
      </c>
      <c r="GH6" s="103">
        <f t="shared" si="3"/>
        <v>1464339.25</v>
      </c>
      <c r="GI6" s="103">
        <f t="shared" si="3"/>
        <v>1474961.6500000001</v>
      </c>
      <c r="GJ6" s="103">
        <f t="shared" si="3"/>
        <v>1474633.64</v>
      </c>
      <c r="GK6" s="103">
        <f t="shared" si="3"/>
        <v>1475032.42</v>
      </c>
      <c r="GL6" s="103">
        <f t="shared" si="3"/>
        <v>1481771.52</v>
      </c>
      <c r="GM6" s="103">
        <f t="shared" si="3"/>
        <v>1487648.37</v>
      </c>
      <c r="GN6" s="103">
        <f t="shared" si="3"/>
        <v>1496626.04</v>
      </c>
      <c r="GO6" s="103">
        <f t="shared" si="3"/>
        <v>1495054</v>
      </c>
      <c r="GP6" s="103">
        <f t="shared" ref="GP6:HS6" si="4">SUM(GP$2:GP$4)</f>
        <v>1489919.8399999999</v>
      </c>
      <c r="GQ6" s="103">
        <f t="shared" si="4"/>
        <v>1481725.52</v>
      </c>
      <c r="GR6" s="103">
        <f t="shared" si="4"/>
        <v>1484203.54</v>
      </c>
      <c r="GS6" s="103">
        <f t="shared" si="4"/>
        <v>1485309.5</v>
      </c>
      <c r="GT6" s="103">
        <f t="shared" si="4"/>
        <v>1473400.25</v>
      </c>
      <c r="GU6" s="103">
        <f t="shared" si="4"/>
        <v>1478192.42</v>
      </c>
      <c r="GV6" s="103">
        <f t="shared" si="4"/>
        <v>1473097.48</v>
      </c>
      <c r="GW6" s="103">
        <f t="shared" si="4"/>
        <v>1490120.0199999998</v>
      </c>
      <c r="GX6" s="103">
        <f t="shared" si="4"/>
        <v>1492507.91</v>
      </c>
      <c r="GY6" s="103">
        <f t="shared" si="4"/>
        <v>1476281.2</v>
      </c>
      <c r="GZ6" s="103">
        <f t="shared" si="4"/>
        <v>1474459.34</v>
      </c>
      <c r="HA6" s="103">
        <f t="shared" si="4"/>
        <v>1468263.3099999998</v>
      </c>
      <c r="HB6" s="103">
        <f t="shared" si="4"/>
        <v>1460206.43</v>
      </c>
      <c r="HC6" s="103">
        <f t="shared" si="4"/>
        <v>1460681.7899999998</v>
      </c>
      <c r="HD6" s="103">
        <f t="shared" si="4"/>
        <v>1452322.8499999999</v>
      </c>
      <c r="HE6" s="103">
        <f t="shared" si="4"/>
        <v>1459461.98</v>
      </c>
      <c r="HF6" s="103">
        <f t="shared" si="4"/>
        <v>1466344.82</v>
      </c>
      <c r="HG6" s="103">
        <f t="shared" si="4"/>
        <v>1475079.74</v>
      </c>
      <c r="HH6" s="103">
        <f t="shared" si="4"/>
        <v>1478114.9</v>
      </c>
      <c r="HI6" s="103">
        <f t="shared" si="4"/>
        <v>1480154.19</v>
      </c>
      <c r="HJ6" s="103">
        <f t="shared" si="4"/>
        <v>1490548.2</v>
      </c>
      <c r="HK6" s="103">
        <f t="shared" si="4"/>
        <v>1492052.94</v>
      </c>
      <c r="HL6" s="103">
        <f t="shared" si="4"/>
        <v>1485787.53</v>
      </c>
      <c r="HM6" s="103">
        <f t="shared" si="4"/>
        <v>1487243.09</v>
      </c>
      <c r="HN6" s="103">
        <f t="shared" si="4"/>
        <v>1491472.41</v>
      </c>
      <c r="HO6" s="103">
        <f t="shared" si="4"/>
        <v>1492427.98</v>
      </c>
      <c r="HP6" s="103">
        <f t="shared" si="4"/>
        <v>1490724</v>
      </c>
      <c r="HQ6" s="103">
        <f t="shared" si="4"/>
        <v>1487636</v>
      </c>
      <c r="HR6" s="103">
        <f t="shared" si="4"/>
        <v>1485942.22</v>
      </c>
      <c r="HS6" s="103">
        <f t="shared" si="4"/>
        <v>1493867.07</v>
      </c>
      <c r="HT6" s="103">
        <f t="shared" ref="HT6:HX6" si="5">SUM(HT$2:HT$4)</f>
        <v>1500430.4</v>
      </c>
      <c r="HU6" s="103">
        <f t="shared" si="5"/>
        <v>1493003.36</v>
      </c>
      <c r="HV6" s="103">
        <f t="shared" si="5"/>
        <v>1493036.1900000002</v>
      </c>
      <c r="HW6" s="103">
        <f t="shared" si="5"/>
        <v>1489723.68</v>
      </c>
      <c r="HX6" s="103">
        <f t="shared" si="5"/>
        <v>1484492.41</v>
      </c>
      <c r="HY6" s="103">
        <f t="shared" ref="HY6:IS6" si="6">SUM(HY$2:HY$4)</f>
        <v>1485845.24</v>
      </c>
      <c r="HZ6" s="103">
        <f t="shared" si="6"/>
        <v>1489619.5799999998</v>
      </c>
      <c r="IA6" s="103">
        <f t="shared" si="6"/>
        <v>1473991.9000000001</v>
      </c>
      <c r="IB6" s="103">
        <f t="shared" si="6"/>
        <v>1477612.73</v>
      </c>
      <c r="IC6" s="103">
        <f t="shared" si="6"/>
        <v>1480525.19</v>
      </c>
      <c r="ID6" s="103">
        <f t="shared" si="6"/>
        <v>1483808.64</v>
      </c>
      <c r="IE6" s="103">
        <f>SUM(IE$2:IE$4)</f>
        <v>1507007.0099999998</v>
      </c>
      <c r="IF6" s="103">
        <f t="shared" si="6"/>
        <v>1504012.67</v>
      </c>
      <c r="IG6" s="103">
        <f t="shared" si="6"/>
        <v>1506963.2</v>
      </c>
      <c r="IH6" s="103">
        <f t="shared" si="6"/>
        <v>1505704.55</v>
      </c>
      <c r="II6" s="103">
        <f t="shared" si="6"/>
        <v>1504466.02</v>
      </c>
      <c r="IJ6" s="103">
        <f t="shared" si="6"/>
        <v>1500329.31</v>
      </c>
      <c r="IK6" s="103">
        <f t="shared" si="6"/>
        <v>1503423.5300000003</v>
      </c>
      <c r="IL6" s="103">
        <f t="shared" si="6"/>
        <v>1510189.4500000002</v>
      </c>
      <c r="IM6" s="103">
        <f t="shared" si="6"/>
        <v>1516660.0199999998</v>
      </c>
      <c r="IN6" s="103">
        <f t="shared" si="6"/>
        <v>1513906.5499999998</v>
      </c>
      <c r="IO6" s="103">
        <f t="shared" si="6"/>
        <v>1513606.68</v>
      </c>
      <c r="IP6" s="103">
        <f t="shared" si="6"/>
        <v>1520419.52</v>
      </c>
      <c r="IQ6" s="103">
        <f t="shared" si="6"/>
        <v>1523715.54</v>
      </c>
      <c r="IR6" s="103">
        <f t="shared" si="6"/>
        <v>1521747.3299999998</v>
      </c>
      <c r="IS6" s="103">
        <f t="shared" si="6"/>
        <v>1521836.55</v>
      </c>
      <c r="IT6" s="103">
        <f t="shared" ref="IT6:JM6" si="7">SUM(IT$2:IT$4)</f>
        <v>1523586.6500000001</v>
      </c>
      <c r="IU6" s="103">
        <f t="shared" si="7"/>
        <v>1522135.81</v>
      </c>
      <c r="IV6" s="103">
        <f t="shared" si="7"/>
        <v>1505517.99</v>
      </c>
      <c r="IW6" s="103">
        <f t="shared" si="7"/>
        <v>1517092.5</v>
      </c>
      <c r="IX6" s="103">
        <f t="shared" si="7"/>
        <v>1521764.47</v>
      </c>
      <c r="IY6" s="103">
        <f t="shared" si="7"/>
        <v>1525013.01</v>
      </c>
      <c r="IZ6" s="7">
        <f t="shared" si="7"/>
        <v>1532376.77</v>
      </c>
      <c r="JA6" s="103">
        <f t="shared" si="7"/>
        <v>1529382.83</v>
      </c>
      <c r="JB6" s="103">
        <f t="shared" si="7"/>
        <v>1529379.56</v>
      </c>
      <c r="JC6" s="103">
        <f t="shared" si="7"/>
        <v>1523267.8699999999</v>
      </c>
      <c r="JD6" s="103">
        <f t="shared" si="7"/>
        <v>1527479.74</v>
      </c>
      <c r="JE6" s="103">
        <f t="shared" si="7"/>
        <v>1523851.06</v>
      </c>
      <c r="JF6" s="103">
        <f t="shared" si="7"/>
        <v>1522893.46</v>
      </c>
      <c r="JG6" s="103">
        <f t="shared" si="7"/>
        <v>1515995.8199999998</v>
      </c>
      <c r="JH6" s="103">
        <f t="shared" si="7"/>
        <v>1531699.58</v>
      </c>
      <c r="JI6" s="103">
        <f t="shared" si="7"/>
        <v>1537076.88</v>
      </c>
      <c r="JJ6" s="46">
        <f t="shared" si="7"/>
        <v>1538582.8099999998</v>
      </c>
      <c r="JK6" s="103">
        <f t="shared" si="7"/>
        <v>1538331.99</v>
      </c>
      <c r="JL6" s="103">
        <f t="shared" si="7"/>
        <v>1529143.69</v>
      </c>
      <c r="JM6" s="103">
        <f t="shared" si="7"/>
        <v>1532459.4300000002</v>
      </c>
    </row>
    <row r="7" spans="1:273" x14ac:dyDescent="0.35">
      <c r="B7" s="13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8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03"/>
      <c r="FV7" s="103"/>
      <c r="FW7" s="103"/>
      <c r="FX7" s="103"/>
      <c r="FY7" s="103"/>
      <c r="FZ7" s="103"/>
      <c r="GA7" s="103"/>
      <c r="GB7" s="103"/>
      <c r="GC7" s="103"/>
      <c r="GD7" s="103"/>
      <c r="GE7" s="103"/>
      <c r="GF7" s="103"/>
      <c r="GG7" s="103"/>
      <c r="GH7" s="103"/>
      <c r="GI7" s="103"/>
      <c r="GJ7" s="103"/>
      <c r="GK7" s="103"/>
      <c r="GL7" s="103"/>
      <c r="GM7" s="103"/>
      <c r="GN7" s="103"/>
      <c r="GO7" s="103"/>
      <c r="GP7" s="103"/>
      <c r="GQ7" s="103"/>
      <c r="GR7" s="103"/>
      <c r="GS7" s="103"/>
      <c r="GT7" s="103"/>
      <c r="GU7" s="103"/>
      <c r="GV7" s="103"/>
      <c r="GW7" s="103"/>
      <c r="GX7" s="103"/>
      <c r="GY7" s="103"/>
      <c r="GZ7" s="103"/>
      <c r="HA7" s="103"/>
      <c r="HB7" s="103"/>
      <c r="HC7" s="103"/>
      <c r="HD7" s="103"/>
      <c r="HE7" s="103"/>
      <c r="HF7" s="103"/>
      <c r="HG7" s="103"/>
      <c r="HH7" s="103"/>
      <c r="HI7" s="103"/>
      <c r="HJ7" s="103"/>
      <c r="HK7" s="103"/>
      <c r="HL7" s="103"/>
      <c r="HM7" s="103"/>
      <c r="HN7" s="103"/>
      <c r="HO7" s="103"/>
      <c r="HP7" s="103"/>
      <c r="HQ7" s="103"/>
      <c r="HR7" s="103"/>
      <c r="HS7" s="103"/>
      <c r="HT7" s="103"/>
      <c r="HU7" s="103"/>
      <c r="HV7" s="103"/>
      <c r="HW7" s="103"/>
      <c r="HX7" s="103"/>
      <c r="HY7" s="103"/>
      <c r="HZ7" s="103"/>
      <c r="IA7" s="103"/>
      <c r="IB7" s="103"/>
      <c r="IC7" s="103"/>
      <c r="ID7" s="103"/>
      <c r="IE7" s="103"/>
      <c r="IF7" s="103"/>
      <c r="IG7" s="103"/>
      <c r="IH7" s="103"/>
      <c r="II7" s="103"/>
      <c r="IJ7" s="103"/>
      <c r="IK7" s="103"/>
      <c r="IL7" s="103"/>
      <c r="IM7" s="103"/>
      <c r="IN7" s="103"/>
      <c r="IO7" s="103"/>
      <c r="IP7" s="103"/>
      <c r="IQ7" s="103"/>
      <c r="IR7" s="103"/>
      <c r="IS7" s="103"/>
      <c r="IT7" s="103"/>
      <c r="IU7" s="103"/>
      <c r="IV7" s="103"/>
      <c r="IW7" s="103"/>
      <c r="IX7" s="103"/>
      <c r="IY7" s="103"/>
      <c r="IZ7" s="103"/>
      <c r="JA7" s="103"/>
      <c r="JB7" s="103"/>
      <c r="JC7" s="103"/>
      <c r="JD7" s="103"/>
      <c r="JE7" s="103"/>
      <c r="JF7" s="103"/>
      <c r="JG7" s="103"/>
      <c r="JH7" s="103"/>
      <c r="JI7" s="103"/>
      <c r="JJ7" s="103"/>
      <c r="JK7" s="103"/>
      <c r="JL7" s="103"/>
      <c r="JM7" s="103"/>
    </row>
    <row r="8" spans="1:273" x14ac:dyDescent="0.35">
      <c r="A8" s="225" t="s">
        <v>30</v>
      </c>
      <c r="B8" s="13"/>
      <c r="C8" s="13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9">
        <f>S6/$S6-1</f>
        <v>0</v>
      </c>
      <c r="T8" s="39">
        <f t="shared" ref="T8:AA8" si="8">T6/$S6-1</f>
        <v>1.9407710161192249E-3</v>
      </c>
      <c r="U8" s="39">
        <f t="shared" si="8"/>
        <v>7.8754654662314127E-3</v>
      </c>
      <c r="V8" s="39">
        <f t="shared" si="8"/>
        <v>1.0070489440930475E-2</v>
      </c>
      <c r="W8" s="39">
        <f t="shared" si="8"/>
        <v>7.8491634360333684E-3</v>
      </c>
      <c r="X8" s="39">
        <f t="shared" si="8"/>
        <v>8.6358332483167377E-3</v>
      </c>
      <c r="Y8" s="39">
        <f t="shared" si="8"/>
        <v>1.1644626096714905E-2</v>
      </c>
      <c r="Z8" s="39">
        <f t="shared" si="8"/>
        <v>8.9323288614568952E-3</v>
      </c>
      <c r="AA8" s="39">
        <f t="shared" si="8"/>
        <v>5.2787377576004602E-3</v>
      </c>
      <c r="AB8" s="39">
        <f t="shared" ref="AB8:BK8" si="9">AB6/$S6-1</f>
        <v>1.3428381962864666E-2</v>
      </c>
      <c r="AC8" s="39">
        <f t="shared" si="9"/>
        <v>1.5306984543970614E-2</v>
      </c>
      <c r="AD8" s="39">
        <f t="shared" si="9"/>
        <v>1.4265264741889494E-2</v>
      </c>
      <c r="AE8" s="39">
        <f t="shared" si="9"/>
        <v>2.0168077943276908E-2</v>
      </c>
      <c r="AF8" s="39">
        <f t="shared" si="9"/>
        <v>2.2201304580697911E-2</v>
      </c>
      <c r="AG8" s="39">
        <f t="shared" si="9"/>
        <v>2.1355654458273809E-2</v>
      </c>
      <c r="AH8" s="39">
        <f t="shared" si="9"/>
        <v>2.6463827535196938E-2</v>
      </c>
      <c r="AI8" s="39">
        <f t="shared" si="9"/>
        <v>2.6456654254233936E-2</v>
      </c>
      <c r="AJ8" s="39">
        <f t="shared" si="9"/>
        <v>2.6218341920016375E-2</v>
      </c>
      <c r="AK8" s="39">
        <f t="shared" si="9"/>
        <v>2.9369006325239644E-2</v>
      </c>
      <c r="AL8" s="39">
        <f t="shared" si="9"/>
        <v>2.8552049326667994E-2</v>
      </c>
      <c r="AM8" s="39">
        <f t="shared" si="9"/>
        <v>2.2712998622730129E-2</v>
      </c>
      <c r="AN8" s="39">
        <f t="shared" si="9"/>
        <v>2.1894447561722208E-2</v>
      </c>
      <c r="AO8" s="39">
        <f t="shared" si="9"/>
        <v>2.0777009793919499E-2</v>
      </c>
      <c r="AP8" s="39">
        <f t="shared" si="9"/>
        <v>2.1791630534584883E-2</v>
      </c>
      <c r="AQ8" s="39">
        <f t="shared" si="9"/>
        <v>2.2997538767598469E-2</v>
      </c>
      <c r="AR8" s="39">
        <f t="shared" si="9"/>
        <v>1.6926551979187909E-2</v>
      </c>
      <c r="AS8" s="39">
        <f t="shared" si="9"/>
        <v>1.9381384220057196E-2</v>
      </c>
      <c r="AT8" s="39">
        <f t="shared" si="9"/>
        <v>2.0008647788716472E-2</v>
      </c>
      <c r="AU8" s="39">
        <f t="shared" si="9"/>
        <v>2.0217469967863666E-2</v>
      </c>
      <c r="AV8" s="39">
        <f t="shared" si="9"/>
        <v>1.117993298561526E-2</v>
      </c>
      <c r="AW8" s="39">
        <f t="shared" si="9"/>
        <v>1.5695911867475987E-2</v>
      </c>
      <c r="AX8" s="39">
        <f t="shared" si="9"/>
        <v>9.9262028795144008E-3</v>
      </c>
      <c r="AY8" s="39">
        <f t="shared" si="9"/>
        <v>1.0174103499285936E-2</v>
      </c>
      <c r="AZ8" s="39">
        <f t="shared" si="9"/>
        <v>1.155934375637635E-2</v>
      </c>
      <c r="BA8" s="39">
        <f t="shared" si="9"/>
        <v>2.9968373801270154E-4</v>
      </c>
      <c r="BB8" s="39">
        <f t="shared" si="9"/>
        <v>-2.3233460008161844E-3</v>
      </c>
      <c r="BC8" s="39">
        <f t="shared" si="9"/>
        <v>-6.0582342889206053E-3</v>
      </c>
      <c r="BD8" s="39">
        <f t="shared" si="9"/>
        <v>1.9328007039378647E-3</v>
      </c>
      <c r="BE8" s="39">
        <f t="shared" si="9"/>
        <v>6.2152494388900692E-3</v>
      </c>
      <c r="BF8" s="39">
        <f t="shared" si="9"/>
        <v>4.0042848398285091E-3</v>
      </c>
      <c r="BG8" s="39">
        <f t="shared" si="9"/>
        <v>7.6331679759231719E-3</v>
      </c>
      <c r="BH8" s="39">
        <f t="shared" si="9"/>
        <v>6.4127697153641972E-3</v>
      </c>
      <c r="BI8" s="39">
        <f t="shared" si="9"/>
        <v>5.3910952484186314E-3</v>
      </c>
      <c r="BJ8" s="39">
        <f t="shared" si="9"/>
        <v>9.3244682207713758E-3</v>
      </c>
      <c r="BK8" s="39">
        <f t="shared" si="9"/>
        <v>1.1831928432972871E-2</v>
      </c>
      <c r="BL8" s="39">
        <f t="shared" ref="BL8:BM8" si="10">BL6/$S6-1</f>
        <v>6.0102689502143924E-3</v>
      </c>
      <c r="BM8" s="39">
        <f t="shared" si="10"/>
        <v>4.3707757345439191E-3</v>
      </c>
      <c r="BN8" s="39">
        <f t="shared" ref="BN8:BO8" si="11">BN6/$S6-1</f>
        <v>-1.0322988930829835E-3</v>
      </c>
      <c r="BO8" s="39">
        <f t="shared" si="11"/>
        <v>-1.7209338655376216E-3</v>
      </c>
      <c r="BP8" s="39">
        <f t="shared" ref="BP8:BQ8" si="12">BP6/$S6-1</f>
        <v>6.2822000612250406E-5</v>
      </c>
      <c r="BQ8" s="39">
        <f t="shared" si="12"/>
        <v>4.6191864542950434E-3</v>
      </c>
      <c r="BR8" s="39">
        <f t="shared" ref="BR8:BS8" si="13">BR6/$S6-1</f>
        <v>-1.0347202739236838E-2</v>
      </c>
      <c r="BS8" s="39">
        <f t="shared" si="13"/>
        <v>-3.8782088476841392E-2</v>
      </c>
      <c r="BT8" s="39">
        <f t="shared" ref="BT8:BU8" si="14">BT6/$S6-1</f>
        <v>-4.5308833656396708E-2</v>
      </c>
      <c r="BU8" s="39">
        <f t="shared" si="14"/>
        <v>-5.4862846867986148E-2</v>
      </c>
      <c r="BV8" s="39">
        <f t="shared" ref="BV8:BW8" si="15">BV6/$S6-1</f>
        <v>-3.6189361864925607E-3</v>
      </c>
      <c r="BW8" s="39">
        <f t="shared" si="15"/>
        <v>-2.4250471842481081E-2</v>
      </c>
      <c r="BX8" s="39">
        <f t="shared" ref="BX8:BY8" si="16">BX6/$S6-1</f>
        <v>-1.7748291165068375E-2</v>
      </c>
      <c r="BY8" s="39">
        <f t="shared" si="16"/>
        <v>-1.2563794378698256E-2</v>
      </c>
      <c r="BZ8" s="39">
        <f t="shared" ref="BZ8:CA8" si="17">BZ6/$S6-1</f>
        <v>-6.0023305192816734E-3</v>
      </c>
      <c r="CA8" s="39">
        <f t="shared" si="17"/>
        <v>-4.5902063992041553E-3</v>
      </c>
      <c r="CB8" s="39">
        <f t="shared" ref="CB8:CC8" si="18">CB6/$S6-1</f>
        <v>-8.0536577356660199E-3</v>
      </c>
      <c r="CC8" s="39">
        <f t="shared" si="18"/>
        <v>-1.0888036242603594E-2</v>
      </c>
      <c r="CD8" s="39">
        <f t="shared" ref="CD8:CE8" si="19">CD6/$S6-1</f>
        <v>-1.0888036242603594E-2</v>
      </c>
      <c r="CE8" s="39">
        <f t="shared" si="19"/>
        <v>-2.298273789787797E-2</v>
      </c>
      <c r="CF8" s="39">
        <f t="shared" ref="CF8:CG8" si="20">CF6/$S6-1</f>
        <v>-8.2517757855539164E-3</v>
      </c>
      <c r="CG8" s="39">
        <f t="shared" si="20"/>
        <v>4.8147858855340786E-4</v>
      </c>
      <c r="CH8" s="39">
        <f t="shared" ref="CH8:CI8" si="21">CH6/$S6-1</f>
        <v>1.3243367106202664E-2</v>
      </c>
      <c r="CI8" s="39">
        <f t="shared" si="21"/>
        <v>1.6740939349112471E-2</v>
      </c>
      <c r="CJ8" s="39">
        <f t="shared" ref="CJ8:CK8" si="22">CJ6/$S6-1</f>
        <v>1.9052313941032573E-2</v>
      </c>
      <c r="CK8" s="39">
        <f t="shared" si="22"/>
        <v>2.2609671495612993E-2</v>
      </c>
      <c r="CL8" s="39">
        <f t="shared" ref="CL8:CM8" si="23">CL6/$S6-1</f>
        <v>2.3098506682309727E-2</v>
      </c>
      <c r="CM8" s="39">
        <f t="shared" si="23"/>
        <v>2.5051097671393574E-2</v>
      </c>
      <c r="CN8" s="39">
        <f t="shared" ref="CN8:CO8" si="24">CN6/$S6-1</f>
        <v>3.4912924339420393E-2</v>
      </c>
      <c r="CO8" s="39">
        <f t="shared" si="24"/>
        <v>3.2511118585492715E-2</v>
      </c>
      <c r="CP8" s="39">
        <f t="shared" ref="CP8:CQ8" si="25">CP6/$S6-1</f>
        <v>2.8499461206896504E-2</v>
      </c>
      <c r="CQ8" s="39">
        <f t="shared" si="25"/>
        <v>2.9997138657926969E-2</v>
      </c>
      <c r="CR8" s="39">
        <f t="shared" ref="CR8:CS8" si="26">CR6/$S6-1</f>
        <v>3.3888245064782829E-2</v>
      </c>
      <c r="CS8" s="39">
        <f t="shared" si="26"/>
        <v>3.4436554720975288E-2</v>
      </c>
      <c r="CT8" s="39">
        <f t="shared" ref="CT8:CU8" si="27">CT6/$S6-1</f>
        <v>5.210524637829006E-2</v>
      </c>
      <c r="CU8" s="39">
        <f t="shared" si="27"/>
        <v>5.9588452930524394E-2</v>
      </c>
      <c r="CV8" s="39">
        <f t="shared" ref="CV8:CW8" si="28">CV6/$S6-1</f>
        <v>5.8353492909610338E-2</v>
      </c>
      <c r="CW8" s="39">
        <f t="shared" si="28"/>
        <v>6.2029767521934343E-2</v>
      </c>
      <c r="CX8" s="39">
        <f t="shared" ref="CX8:CY8" si="29">CX6/$S6-1</f>
        <v>5.2937992565292857E-2</v>
      </c>
      <c r="CY8" s="39">
        <f t="shared" si="29"/>
        <v>6.0686259819424437E-2</v>
      </c>
      <c r="CZ8" s="39">
        <f t="shared" ref="CZ8:DA8" si="30">CZ6/$S6-1</f>
        <v>6.0881428853805319E-2</v>
      </c>
      <c r="DA8" s="39">
        <f t="shared" si="30"/>
        <v>6.3637020824831803E-2</v>
      </c>
      <c r="DB8" s="39">
        <f t="shared" ref="DB8:DC8" si="31">DB6/$S6-1</f>
        <v>6.4355496646092636E-2</v>
      </c>
      <c r="DC8" s="39">
        <f t="shared" si="31"/>
        <v>7.0136945903897407E-2</v>
      </c>
      <c r="DD8" s="39">
        <f t="shared" ref="DD8:DE8" si="32">DD6/$S6-1</f>
        <v>7.3264018185064339E-2</v>
      </c>
      <c r="DE8" s="39">
        <f t="shared" si="32"/>
        <v>7.4661835594776571E-2</v>
      </c>
      <c r="DF8" s="39">
        <f t="shared" ref="DF8:DG8" si="33">DF6/$S6-1</f>
        <v>7.2823411357376022E-2</v>
      </c>
      <c r="DG8" s="39">
        <f t="shared" si="33"/>
        <v>7.8834461398183953E-2</v>
      </c>
      <c r="DH8" s="39">
        <f t="shared" ref="DH8:DI8" si="34">DH6/$S6-1</f>
        <v>7.9598535375433599E-2</v>
      </c>
      <c r="DI8" s="39">
        <f t="shared" si="34"/>
        <v>8.2440119044582705E-2</v>
      </c>
      <c r="DJ8" s="39">
        <f t="shared" ref="DJ8:DK8" si="35">DJ6/$S6-1</f>
        <v>8.1542502486737334E-2</v>
      </c>
      <c r="DK8" s="39">
        <f t="shared" si="35"/>
        <v>8.4614882485717136E-2</v>
      </c>
      <c r="DL8" s="39">
        <f t="shared" ref="DL8:DM8" si="36">DL6/$S6-1</f>
        <v>7.4891787071516003E-2</v>
      </c>
      <c r="DM8" s="39">
        <f t="shared" si="36"/>
        <v>8.0405569335339599E-2</v>
      </c>
      <c r="DN8" s="39">
        <f t="shared" ref="DN8:DO8" si="37">DN6/$S6-1</f>
        <v>7.4002523400836573E-2</v>
      </c>
      <c r="DO8" s="39">
        <f t="shared" si="37"/>
        <v>7.4359402099061445E-2</v>
      </c>
      <c r="DP8" s="39">
        <f t="shared" ref="DP8" si="38">DP6/$S6-1</f>
        <v>7.3284629412364799E-2</v>
      </c>
      <c r="DQ8" s="39">
        <f t="shared" ref="DQ8:DR8" si="39">DQ6/$S6-1</f>
        <v>8.4176132740767073E-2</v>
      </c>
      <c r="DR8" s="39">
        <f t="shared" si="39"/>
        <v>8.9313971319628482E-2</v>
      </c>
      <c r="DS8" s="39">
        <f t="shared" ref="DS8:DT8" si="40">DS6/$S6-1</f>
        <v>8.8286072038869623E-2</v>
      </c>
      <c r="DT8" s="39">
        <f t="shared" si="40"/>
        <v>9.4595737795857948E-2</v>
      </c>
      <c r="DU8" s="39">
        <f t="shared" ref="DU8:DV8" si="41">DU6/$S6-1</f>
        <v>9.8028455608549336E-2</v>
      </c>
      <c r="DV8" s="39">
        <f t="shared" si="41"/>
        <v>0.10076775626147705</v>
      </c>
      <c r="DW8" s="39">
        <f t="shared" ref="DW8:DX8" si="42">DW6/$S6-1</f>
        <v>0.10568408392419903</v>
      </c>
      <c r="DX8" s="39">
        <f t="shared" si="42"/>
        <v>0.10308781052336258</v>
      </c>
      <c r="DY8" s="39">
        <f t="shared" ref="DY8:DZ8" si="43">DY6/$S6-1</f>
        <v>0.10253123565343802</v>
      </c>
      <c r="DZ8" s="39">
        <f t="shared" si="43"/>
        <v>0.10754961519332773</v>
      </c>
      <c r="EA8" s="39">
        <f t="shared" ref="EA8:EB8" si="44">EA6/$S6-1</f>
        <v>0.11366686167363804</v>
      </c>
      <c r="EB8" s="39">
        <f t="shared" si="44"/>
        <v>0.11468989109365424</v>
      </c>
      <c r="EC8" s="39">
        <f t="shared" ref="EC8:ED8" si="45">EC6/$S6-1</f>
        <v>0.11756697453325837</v>
      </c>
      <c r="ED8" s="39">
        <f t="shared" si="45"/>
        <v>0.12529688615843715</v>
      </c>
      <c r="EE8" s="39">
        <f t="shared" ref="EE8:EF8" si="46">EE6/$S6-1</f>
        <v>0.12340344285604998</v>
      </c>
      <c r="EF8" s="39">
        <f t="shared" si="46"/>
        <v>0.12639442205672324</v>
      </c>
      <c r="EG8" s="39">
        <f t="shared" ref="EG8:EH8" si="47">EG6/$S6-1</f>
        <v>0.12280957489542943</v>
      </c>
      <c r="EH8" s="39">
        <f t="shared" si="47"/>
        <v>0.12178523037390354</v>
      </c>
      <c r="EI8" s="39">
        <f t="shared" ref="EI8:EJ8" si="48">EI6/$S6-1</f>
        <v>0.1184434777341361</v>
      </c>
      <c r="EJ8" s="39">
        <f t="shared" si="48"/>
        <v>0.11541623361303799</v>
      </c>
      <c r="EK8" s="39">
        <f t="shared" ref="EK8:EL8" si="49">EK6/$S6-1</f>
        <v>0.10739284712303609</v>
      </c>
      <c r="EL8" s="39">
        <f t="shared" si="49"/>
        <v>0.11814408889767392</v>
      </c>
      <c r="EM8" s="39">
        <f t="shared" ref="EM8:EN8" si="50">EM6/$S6-1</f>
        <v>0.11614316593552343</v>
      </c>
      <c r="EN8" s="39">
        <f t="shared" si="50"/>
        <v>0.11857153673995113</v>
      </c>
      <c r="EO8" s="39">
        <f t="shared" ref="EO8:EQ8" si="51">EO6/$S6-1</f>
        <v>0.11978382919302177</v>
      </c>
      <c r="EP8" s="39">
        <f t="shared" si="51"/>
        <v>0.12250555530759044</v>
      </c>
      <c r="EQ8" s="39">
        <f t="shared" si="51"/>
        <v>0.12009492641807773</v>
      </c>
      <c r="ER8" s="39">
        <f t="shared" ref="ER8:ES8" si="52">ER6/$S6-1</f>
        <v>0.12981773490104076</v>
      </c>
      <c r="ES8" s="39">
        <f t="shared" si="52"/>
        <v>0.13915002996837367</v>
      </c>
      <c r="ET8" s="39">
        <f t="shared" ref="ET8:EU8" si="53">ET6/$S6-1</f>
        <v>0.13650617380381558</v>
      </c>
      <c r="EU8" s="39">
        <f t="shared" si="53"/>
        <v>0.13573491060497855</v>
      </c>
      <c r="EV8" s="39">
        <f t="shared" ref="EV8:EW8" si="54">EV6/$S6-1</f>
        <v>0.13583946516017154</v>
      </c>
      <c r="EW8" s="39">
        <f t="shared" si="54"/>
        <v>0.13362786293613538</v>
      </c>
      <c r="EX8" s="39">
        <f t="shared" ref="EX8:EY8" si="55">EX6/$S6-1</f>
        <v>0.13259897533666609</v>
      </c>
      <c r="EY8" s="39">
        <f t="shared" si="55"/>
        <v>0.12986659291471114</v>
      </c>
      <c r="EZ8" s="39">
        <f t="shared" ref="EZ8:FA8" si="56">EZ6/$S6-1</f>
        <v>0.14571374942613757</v>
      </c>
      <c r="FA8" s="39">
        <f t="shared" si="56"/>
        <v>0.14029342704295034</v>
      </c>
      <c r="FB8" s="39">
        <f t="shared" ref="FB8:FC8" si="57">FB6/$S6-1</f>
        <v>0.14260359811773116</v>
      </c>
      <c r="FC8" s="39">
        <f t="shared" si="57"/>
        <v>0.14411175652927977</v>
      </c>
      <c r="FD8" s="39">
        <f t="shared" ref="FD8:FE8" si="58">FD6/$S6-1</f>
        <v>0.14683787428586004</v>
      </c>
      <c r="FE8" s="39">
        <f t="shared" si="58"/>
        <v>0.14330437984594968</v>
      </c>
      <c r="FF8" s="39">
        <f t="shared" ref="FF8:FG8" si="59">FF6/$S6-1</f>
        <v>0.13704840211181391</v>
      </c>
      <c r="FG8" s="39">
        <f t="shared" si="59"/>
        <v>0.13925974131554786</v>
      </c>
      <c r="FH8" s="39">
        <f t="shared" ref="FH8:FI8" si="60">FH6/$S6-1</f>
        <v>0.14577278552846362</v>
      </c>
      <c r="FI8" s="39">
        <f t="shared" si="60"/>
        <v>0.15413495810803934</v>
      </c>
      <c r="FJ8" s="39">
        <f t="shared" ref="FJ8:FK8" si="61">FJ6/$S6-1</f>
        <v>0.15606770301979189</v>
      </c>
      <c r="FK8" s="39">
        <f t="shared" si="61"/>
        <v>0.15677606451489501</v>
      </c>
      <c r="FL8" s="39">
        <f t="shared" ref="FL8:FM8" si="62">FL6/$S6-1</f>
        <v>0.16149053605131636</v>
      </c>
      <c r="FM8" s="39">
        <f t="shared" si="62"/>
        <v>0.1660172031218119</v>
      </c>
      <c r="FN8" s="39">
        <f t="shared" ref="FN8:FO8" si="63">FN6/$S6-1</f>
        <v>0.16627752148796149</v>
      </c>
      <c r="FO8" s="39">
        <f t="shared" si="63"/>
        <v>0.16873289571005934</v>
      </c>
      <c r="FP8" s="39">
        <f t="shared" ref="FP8:FQ8" si="64">FP6/$S6-1</f>
        <v>0.16648534737808629</v>
      </c>
      <c r="FQ8" s="39">
        <f t="shared" si="64"/>
        <v>0.16234125529228738</v>
      </c>
      <c r="FR8" s="39">
        <f t="shared" ref="FR8:FS8" si="65">FR6/$S6-1</f>
        <v>0.15709125051009987</v>
      </c>
      <c r="FS8" s="39">
        <f t="shared" si="65"/>
        <v>0.16234724896704766</v>
      </c>
      <c r="FT8" s="39">
        <f t="shared" ref="FT8:FV8" si="66">FT6/$S6-1</f>
        <v>0.16507231464242</v>
      </c>
      <c r="FU8" s="39">
        <f t="shared" si="66"/>
        <v>0.16733290240512133</v>
      </c>
      <c r="FV8" s="39">
        <f t="shared" si="66"/>
        <v>0.17158581316312982</v>
      </c>
      <c r="FW8" s="39">
        <f t="shared" ref="FW8:FX8" si="67">FW6/$S6-1</f>
        <v>0.17248342972097541</v>
      </c>
      <c r="FX8" s="39">
        <f t="shared" si="67"/>
        <v>0.17541393019281792</v>
      </c>
      <c r="FY8" s="39">
        <f t="shared" ref="FY8:FZ8" si="68">FY6/$S6-1</f>
        <v>0.17734565490461129</v>
      </c>
      <c r="FZ8" s="39">
        <f t="shared" si="68"/>
        <v>0.17166146736635368</v>
      </c>
      <c r="GA8" s="39">
        <f t="shared" ref="GA8:GB8" si="69">GA6/$S6-1</f>
        <v>0.17588714356763924</v>
      </c>
      <c r="GB8" s="39">
        <f t="shared" si="69"/>
        <v>0.17387160305294835</v>
      </c>
      <c r="GC8" s="39">
        <f t="shared" ref="GC8:GD8" si="70">GC6/$S6-1</f>
        <v>0.15252543326617007</v>
      </c>
      <c r="GD8" s="39">
        <f t="shared" si="70"/>
        <v>0.16371344814833688</v>
      </c>
      <c r="GE8" s="39">
        <f t="shared" ref="GE8:GF8" si="71">GE6/$S6-1</f>
        <v>0.16530520716435415</v>
      </c>
      <c r="GF8" s="39">
        <f t="shared" si="71"/>
        <v>0.16852785942919812</v>
      </c>
      <c r="GG8" s="39">
        <f t="shared" ref="GG8:GH8" si="72">GG6/$S6-1</f>
        <v>0.16467120071158936</v>
      </c>
      <c r="GH8" s="39">
        <f t="shared" si="72"/>
        <v>0.16712409616659873</v>
      </c>
      <c r="GI8" s="39">
        <f t="shared" ref="GI8:GJ8" si="73">GI6/$S6-1</f>
        <v>0.17559048057794335</v>
      </c>
      <c r="GJ8" s="39">
        <f t="shared" si="73"/>
        <v>0.1753290463680881</v>
      </c>
      <c r="GK8" s="39">
        <f t="shared" ref="GK8:GL8" si="74">GK6/$S6-1</f>
        <v>0.17564688647724958</v>
      </c>
      <c r="GL8" s="39">
        <f t="shared" si="74"/>
        <v>0.18101815955927369</v>
      </c>
      <c r="GM8" s="39">
        <f t="shared" ref="GM8:GN8" si="75">GM6/$S6-1</f>
        <v>0.18570219247347497</v>
      </c>
      <c r="GN8" s="39">
        <f t="shared" si="75"/>
        <v>0.1928576757294429</v>
      </c>
      <c r="GO8" s="39">
        <f t="shared" ref="GO8:GP8" si="76">GO6/$S6-1</f>
        <v>0.19160471077331165</v>
      </c>
      <c r="GP8" s="39">
        <f t="shared" si="76"/>
        <v>0.18751262497449495</v>
      </c>
      <c r="GQ8" s="39">
        <f t="shared" ref="GQ8:GR8" si="77">GQ6/$S6-1</f>
        <v>0.1809814961232401</v>
      </c>
      <c r="GR8" s="39">
        <f t="shared" si="77"/>
        <v>0.18295655542236289</v>
      </c>
      <c r="GS8" s="39">
        <f t="shared" ref="GS8:GT8" si="78">GS6/$S6-1</f>
        <v>0.18383804006835347</v>
      </c>
      <c r="GT8" s="39">
        <f t="shared" si="78"/>
        <v>0.17434599603397261</v>
      </c>
      <c r="GU8" s="39">
        <f t="shared" ref="GU8:GV8" si="79">GU6/$S6-1</f>
        <v>0.17816550512650475</v>
      </c>
      <c r="GV8" s="39">
        <f t="shared" si="79"/>
        <v>0.17410467889206283</v>
      </c>
      <c r="GW8" s="39">
        <f t="shared" ref="GW8:GX8" si="80">GW6/$S6-1</f>
        <v>0.18767217468373776</v>
      </c>
      <c r="GX8" s="39">
        <f t="shared" si="80"/>
        <v>0.18957539755917163</v>
      </c>
      <c r="GY8" s="39">
        <f t="shared" ref="GY8:GZ8" si="81">GY6/$S6-1</f>
        <v>0.17664220312181178</v>
      </c>
      <c r="GZ8" s="39">
        <f t="shared" si="81"/>
        <v>0.17519012382677013</v>
      </c>
      <c r="HA8" s="39">
        <f t="shared" ref="HA8:HB8" si="82">HA6/$S6-1</f>
        <v>0.17025169448836963</v>
      </c>
      <c r="HB8" s="39">
        <f t="shared" si="82"/>
        <v>0.16383010960773303</v>
      </c>
      <c r="HC8" s="39">
        <f t="shared" ref="HC8:HD8" si="83">HC6/$S6-1</f>
        <v>0.16420898636757797</v>
      </c>
      <c r="HD8" s="39">
        <f t="shared" si="83"/>
        <v>0.15754665023719627</v>
      </c>
      <c r="HE8" s="39">
        <f t="shared" ref="HE8:HF8" si="84">HE6/$S6-1</f>
        <v>0.1632367597174047</v>
      </c>
      <c r="HF8" s="39">
        <f t="shared" si="84"/>
        <v>0.16872259806672107</v>
      </c>
      <c r="HG8" s="39">
        <f t="shared" ref="HG8:HH8" si="85">HG6/$S6-1</f>
        <v>0.17568460199449087</v>
      </c>
      <c r="HH8" s="39">
        <f t="shared" si="85"/>
        <v>0.17810371926647606</v>
      </c>
      <c r="HI8" s="39">
        <f t="shared" ref="HI8:HJ8" si="86">HI6/$S6-1</f>
        <v>0.17972909705927353</v>
      </c>
      <c r="HJ8" s="39">
        <f t="shared" si="86"/>
        <v>0.18801344751071203</v>
      </c>
      <c r="HK8" s="39">
        <f t="shared" ref="HK8:HL8" si="87">HK6/$S6-1</f>
        <v>0.18921277226586408</v>
      </c>
      <c r="HL8" s="39">
        <f t="shared" si="87"/>
        <v>0.18421904490155083</v>
      </c>
      <c r="HM8" s="39">
        <f t="shared" ref="HM8:HN8" si="88">HM6/$S6-1</f>
        <v>0.18537917166139573</v>
      </c>
      <c r="HN8" s="39">
        <f t="shared" si="88"/>
        <v>0.18875007173280967</v>
      </c>
      <c r="HO8" s="39">
        <f t="shared" ref="HO8:HP8" si="89">HO6/$S6-1</f>
        <v>0.1895116908539074</v>
      </c>
      <c r="HP8" s="39">
        <f t="shared" si="89"/>
        <v>0.18815356559885732</v>
      </c>
      <c r="HQ8" s="39">
        <f t="shared" ref="HQ8:HR8" si="90">HQ6/$S6-1</f>
        <v>0.1856923331973066</v>
      </c>
      <c r="HR8" s="39">
        <f t="shared" si="90"/>
        <v>0.18434233766068142</v>
      </c>
      <c r="HS8" s="39">
        <f t="shared" ref="HS8:HT8" si="91">HS6/$S6-1</f>
        <v>0.19065869050958995</v>
      </c>
      <c r="HT8" s="39">
        <f t="shared" si="91"/>
        <v>0.19588986941440512</v>
      </c>
      <c r="HU8" s="39">
        <f t="shared" ref="HU8:HV8" si="92">HU6/$S6-1</f>
        <v>0.18997028667618854</v>
      </c>
      <c r="HV8" s="39">
        <f t="shared" si="92"/>
        <v>0.18999645321107961</v>
      </c>
      <c r="HW8" s="39">
        <f t="shared" ref="HW8:HX8" si="93">HW6/$S6-1</f>
        <v>0.18735627933074883</v>
      </c>
      <c r="HX8" s="39">
        <f t="shared" si="93"/>
        <v>0.18318679383034064</v>
      </c>
      <c r="HY8" s="39">
        <f t="shared" ref="HY8:HZ8" si="94">HY6/$S6-1</f>
        <v>0.18426504157314838</v>
      </c>
      <c r="HZ8" s="39">
        <f t="shared" si="94"/>
        <v>0.18727330838094258</v>
      </c>
      <c r="IA8" s="39">
        <f t="shared" ref="IA8:IB8" si="95">IA6/$S6-1</f>
        <v>0.17481755955417277</v>
      </c>
      <c r="IB8" s="39">
        <f t="shared" si="95"/>
        <v>0.17770347409967346</v>
      </c>
      <c r="IC8" s="39">
        <f t="shared" ref="IC8:ID8" si="96">IC6/$S6-1</f>
        <v>0.18002479564119556</v>
      </c>
      <c r="ID8" s="39">
        <f t="shared" si="96"/>
        <v>0.1826418077943277</v>
      </c>
      <c r="IE8" s="39">
        <f t="shared" ref="IE8:IF8" si="97">IE6/$S6-1</f>
        <v>0.2011316328937971</v>
      </c>
      <c r="IF8" s="39">
        <f t="shared" si="97"/>
        <v>0.19874505043613544</v>
      </c>
      <c r="IG8" s="39">
        <f t="shared" ref="IG8:IH8" si="98">IG6/$S6-1</f>
        <v>0.20109671495613135</v>
      </c>
      <c r="IH8" s="39">
        <f t="shared" si="98"/>
        <v>0.20009353161344623</v>
      </c>
      <c r="II8" s="39">
        <f t="shared" ref="II8:IJ8" si="99">II6/$S6-1</f>
        <v>0.19910638453886964</v>
      </c>
      <c r="IJ8" s="39">
        <f t="shared" si="99"/>
        <v>0.19580929752856568</v>
      </c>
      <c r="IK8" s="39">
        <f t="shared" ref="IK8:IP8" si="100">IK6/trump_inaugerated-1</f>
        <v>0.19827548746429313</v>
      </c>
      <c r="IL8" s="39">
        <f t="shared" si="100"/>
        <v>0.2036681369235871</v>
      </c>
      <c r="IM8" s="39">
        <f t="shared" si="100"/>
        <v>0.20882538321260946</v>
      </c>
      <c r="IN8" s="39">
        <f t="shared" si="100"/>
        <v>0.20663078166445614</v>
      </c>
      <c r="IO8" s="39">
        <f t="shared" si="100"/>
        <v>0.20639177591307889</v>
      </c>
      <c r="IP8" s="39">
        <f t="shared" si="100"/>
        <v>0.21182182207712708</v>
      </c>
      <c r="IQ8" s="39">
        <f t="shared" ref="IQ8:IR8" si="101">IQ6/trump_inaugerated-1</f>
        <v>0.21444885291267091</v>
      </c>
      <c r="IR8" s="39">
        <f t="shared" si="101"/>
        <v>0.21288012809885726</v>
      </c>
      <c r="IS8" s="39">
        <f t="shared" ref="IS8:IT8" si="102">IS6/trump_inaugerated-1</f>
        <v>0.21295123922413794</v>
      </c>
      <c r="IT8" s="39">
        <f t="shared" si="102"/>
        <v>0.21434612355896765</v>
      </c>
      <c r="IU8" s="39">
        <f t="shared" ref="IU8:IV8" si="103">IU6/trump_inaugerated-1</f>
        <v>0.21318975878647217</v>
      </c>
      <c r="IV8" s="39">
        <f t="shared" si="103"/>
        <v>0.19994483746939395</v>
      </c>
      <c r="IW8" s="39">
        <f t="shared" ref="IW8:IX8" si="104">IW6/trump_inaugerated-1</f>
        <v>0.20917008327382169</v>
      </c>
      <c r="IX8" s="39">
        <f t="shared" si="104"/>
        <v>0.21289378921393598</v>
      </c>
      <c r="IY8" s="39">
        <f t="shared" ref="IY8:IZ8" si="105">IY6/trump_inaugerated-1</f>
        <v>0.2154829770072435</v>
      </c>
      <c r="IZ8" s="39">
        <f t="shared" si="105"/>
        <v>0.22135212360997758</v>
      </c>
      <c r="JA8" s="39">
        <f t="shared" ref="JA8:JB8" si="106">JA6/trump_inaugerated-1</f>
        <v>0.21896585996480322</v>
      </c>
      <c r="JB8" s="39">
        <f t="shared" si="106"/>
        <v>0.21896325367271996</v>
      </c>
      <c r="JC8" s="39">
        <f t="shared" ref="JC8" si="107">JC6/trump_inaugerated-1</f>
        <v>0.2140920459472555</v>
      </c>
      <c r="JD8" s="39">
        <f t="shared" ref="JD8:JE8" si="108">JD6/trump_inaugerated-1</f>
        <v>0.21744903782391356</v>
      </c>
      <c r="JE8" s="39">
        <f t="shared" si="108"/>
        <v>0.21455686658335038</v>
      </c>
      <c r="JF8" s="39">
        <f t="shared" ref="JF8:JG8" si="109">JF6/trump_inaugerated-1</f>
        <v>0.21379362948887981</v>
      </c>
      <c r="JG8" s="39">
        <f t="shared" si="109"/>
        <v>0.20829599507753516</v>
      </c>
      <c r="JH8" s="39">
        <f t="shared" ref="JH8:JI8" si="110">JH6/trump_inaugerated-1</f>
        <v>0.2208123820393797</v>
      </c>
      <c r="JI8" s="39">
        <f t="shared" si="110"/>
        <v>0.22509825800856964</v>
      </c>
      <c r="JJ8" s="39">
        <f t="shared" ref="JJ8:JK8" si="111">JJ6/trump_inaugerated-1</f>
        <v>0.22629853123087118</v>
      </c>
      <c r="JK8" s="39">
        <f t="shared" si="111"/>
        <v>0.22609861986074264</v>
      </c>
      <c r="JL8" s="39">
        <f t="shared" ref="JL8:JM8" si="112">JL6/trump_inaugerated-1</f>
        <v>0.21877525791930208</v>
      </c>
      <c r="JM8" s="39">
        <f t="shared" si="112"/>
        <v>0.22141800621046737</v>
      </c>
    </row>
    <row r="9" spans="1:273" x14ac:dyDescent="0.35">
      <c r="A9" s="225" t="s">
        <v>264</v>
      </c>
      <c r="B9" s="13"/>
      <c r="C9" s="13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9">
        <f t="shared" ref="S9:CD9" si="113">S6/R6-1</f>
        <v>-1.2989921255579517E-4</v>
      </c>
      <c r="T9" s="39">
        <f t="shared" si="113"/>
        <v>1.9407710161192249E-3</v>
      </c>
      <c r="U9" s="39">
        <f t="shared" si="113"/>
        <v>5.92319887740822E-3</v>
      </c>
      <c r="V9" s="39">
        <f t="shared" si="113"/>
        <v>2.1778722172620668E-3</v>
      </c>
      <c r="W9" s="39">
        <f t="shared" si="113"/>
        <v>-2.1991791940446648E-3</v>
      </c>
      <c r="X9" s="39">
        <f t="shared" si="113"/>
        <v>7.805432011287472E-4</v>
      </c>
      <c r="Y9" s="39">
        <f t="shared" si="113"/>
        <v>2.9830318824866087E-3</v>
      </c>
      <c r="Z9" s="39">
        <f t="shared" si="113"/>
        <v>-2.6810770949509122E-3</v>
      </c>
      <c r="AA9" s="39">
        <f t="shared" si="113"/>
        <v>-3.6212449530478308E-3</v>
      </c>
      <c r="AB9" s="39">
        <f t="shared" si="113"/>
        <v>8.1068502686558741E-3</v>
      </c>
      <c r="AC9" s="39">
        <f t="shared" si="113"/>
        <v>1.8537102517963699E-3</v>
      </c>
      <c r="AD9" s="39">
        <f t="shared" si="113"/>
        <v>-1.0260146122693659E-3</v>
      </c>
      <c r="AE9" s="39">
        <f t="shared" si="113"/>
        <v>5.819792323154882E-3</v>
      </c>
      <c r="AF9" s="39">
        <f t="shared" si="113"/>
        <v>1.9930310322198164E-3</v>
      </c>
      <c r="AG9" s="39">
        <f t="shared" si="113"/>
        <v>-8.2728335273540843E-4</v>
      </c>
      <c r="AH9" s="39">
        <f t="shared" si="113"/>
        <v>5.0013656404854778E-3</v>
      </c>
      <c r="AI9" s="39">
        <f t="shared" si="113"/>
        <v>-6.9883426679906435E-6</v>
      </c>
      <c r="AJ9" s="39">
        <f t="shared" si="113"/>
        <v>-2.321698955624063E-4</v>
      </c>
      <c r="AK9" s="39">
        <f t="shared" si="113"/>
        <v>3.070169647648946E-3</v>
      </c>
      <c r="AL9" s="39">
        <f t="shared" si="113"/>
        <v>-7.9364833558392966E-4</v>
      </c>
      <c r="AM9" s="39">
        <f t="shared" si="113"/>
        <v>-5.6769618103045261E-3</v>
      </c>
      <c r="AN9" s="39">
        <f t="shared" si="113"/>
        <v>-8.0037220814666021E-4</v>
      </c>
      <c r="AO9" s="39">
        <f t="shared" si="113"/>
        <v>-1.0934962710372753E-3</v>
      </c>
      <c r="AP9" s="39">
        <f t="shared" si="113"/>
        <v>9.9396903626391975E-4</v>
      </c>
      <c r="AQ9" s="39">
        <f t="shared" si="113"/>
        <v>1.1801899692434059E-3</v>
      </c>
      <c r="AR9" s="39">
        <f t="shared" si="113"/>
        <v>-5.9345077171194527E-3</v>
      </c>
      <c r="AS9" s="39">
        <f t="shared" si="113"/>
        <v>2.4139720180296198E-3</v>
      </c>
      <c r="AT9" s="39">
        <f t="shared" si="113"/>
        <v>6.1533747660047489E-4</v>
      </c>
      <c r="AU9" s="39">
        <f t="shared" si="113"/>
        <v>2.0472589090281268E-4</v>
      </c>
      <c r="AV9" s="39">
        <f t="shared" si="113"/>
        <v>-8.858441703152975E-3</v>
      </c>
      <c r="AW9" s="39">
        <f t="shared" si="113"/>
        <v>4.4660487560577167E-3</v>
      </c>
      <c r="AX9" s="39">
        <f t="shared" si="113"/>
        <v>-5.6805476132648636E-3</v>
      </c>
      <c r="AY9" s="39">
        <f t="shared" si="113"/>
        <v>2.4546409338088715E-4</v>
      </c>
      <c r="AZ9" s="39">
        <f t="shared" si="113"/>
        <v>1.371288624695266E-3</v>
      </c>
      <c r="BA9" s="39">
        <f t="shared" si="113"/>
        <v>-1.1130993043424797E-2</v>
      </c>
      <c r="BB9" s="39">
        <f t="shared" si="113"/>
        <v>-2.6222438949763394E-3</v>
      </c>
      <c r="BC9" s="39">
        <f t="shared" si="113"/>
        <v>-3.7435859335117616E-3</v>
      </c>
      <c r="BD9" s="39">
        <f t="shared" si="113"/>
        <v>8.0397416312834036E-3</v>
      </c>
      <c r="BE9" s="39">
        <f t="shared" si="113"/>
        <v>4.2741875821843411E-3</v>
      </c>
      <c r="BF9" s="39">
        <f t="shared" si="113"/>
        <v>-2.197307783095459E-3</v>
      </c>
      <c r="BG9" s="39">
        <f t="shared" si="113"/>
        <v>3.6144100088910669E-3</v>
      </c>
      <c r="BH9" s="39">
        <f t="shared" si="113"/>
        <v>-1.2111533237939565E-3</v>
      </c>
      <c r="BI9" s="39">
        <f t="shared" si="113"/>
        <v>-1.0151644510975055E-3</v>
      </c>
      <c r="BJ9" s="39">
        <f t="shared" si="113"/>
        <v>3.9122814902003977E-3</v>
      </c>
      <c r="BK9" s="39">
        <f t="shared" si="113"/>
        <v>2.4842954779662474E-3</v>
      </c>
      <c r="BL9" s="39">
        <f t="shared" si="113"/>
        <v>-5.7535834946170761E-3</v>
      </c>
      <c r="BM9" s="39">
        <f t="shared" si="113"/>
        <v>-1.6296982906358615E-3</v>
      </c>
      <c r="BN9" s="39">
        <f t="shared" si="113"/>
        <v>-5.3795617695820974E-3</v>
      </c>
      <c r="BO9" s="39">
        <f t="shared" si="113"/>
        <v>-6.8934658417041383E-4</v>
      </c>
      <c r="BP9" s="39">
        <f t="shared" si="113"/>
        <v>1.7868308839299463E-3</v>
      </c>
      <c r="BQ9" s="39">
        <f t="shared" si="113"/>
        <v>4.5560782317333182E-3</v>
      </c>
      <c r="BR9" s="39">
        <f t="shared" si="113"/>
        <v>-1.4897574519111334E-2</v>
      </c>
      <c r="BS9" s="39">
        <f t="shared" si="113"/>
        <v>-2.8732183465058458E-2</v>
      </c>
      <c r="BT9" s="39">
        <f t="shared" si="113"/>
        <v>-6.790078608931549E-3</v>
      </c>
      <c r="BU9" s="39">
        <f t="shared" si="113"/>
        <v>-1.000743858161024E-2</v>
      </c>
      <c r="BV9" s="39">
        <f t="shared" si="113"/>
        <v>5.4218491476798247E-2</v>
      </c>
      <c r="BW9" s="39">
        <f t="shared" si="113"/>
        <v>-2.0706471053378195E-2</v>
      </c>
      <c r="BX9" s="39">
        <f t="shared" si="113"/>
        <v>6.6637804987625948E-3</v>
      </c>
      <c r="BY9" s="39">
        <f t="shared" si="113"/>
        <v>5.2781753798316622E-3</v>
      </c>
      <c r="BZ9" s="39">
        <f t="shared" si="113"/>
        <v>6.6449496403546693E-3</v>
      </c>
      <c r="CA9" s="39">
        <f t="shared" si="113"/>
        <v>1.4206513389667386E-3</v>
      </c>
      <c r="CB9" s="39">
        <f t="shared" si="113"/>
        <v>-3.479422604365956E-3</v>
      </c>
      <c r="CC9" s="39">
        <f t="shared" si="113"/>
        <v>-2.8573909557118027E-3</v>
      </c>
      <c r="CD9" s="39">
        <f t="shared" si="113"/>
        <v>0</v>
      </c>
      <c r="CE9" s="39">
        <f t="shared" ref="CE9:EP9" si="114">CE6/CD6-1</f>
        <v>-1.2227838807377878E-2</v>
      </c>
      <c r="CF9" s="39">
        <f t="shared" si="114"/>
        <v>1.5077483974673456E-2</v>
      </c>
      <c r="CG9" s="39">
        <f t="shared" si="114"/>
        <v>8.8059188419771228E-3</v>
      </c>
      <c r="CH9" s="39">
        <f t="shared" si="114"/>
        <v>1.2755746898636566E-2</v>
      </c>
      <c r="CI9" s="39">
        <f t="shared" si="114"/>
        <v>3.451858019952958E-3</v>
      </c>
      <c r="CJ9" s="39">
        <f t="shared" si="114"/>
        <v>2.2733171277629083E-3</v>
      </c>
      <c r="CK9" s="39">
        <f t="shared" si="114"/>
        <v>3.4908488071854205E-3</v>
      </c>
      <c r="CL9" s="39">
        <f t="shared" si="114"/>
        <v>4.780271498721067E-4</v>
      </c>
      <c r="CM9" s="39">
        <f t="shared" si="114"/>
        <v>1.9085073199995861E-3</v>
      </c>
      <c r="CN9" s="39">
        <f t="shared" si="114"/>
        <v>9.6208146993159716E-3</v>
      </c>
      <c r="CO9" s="39">
        <f t="shared" si="114"/>
        <v>-2.3207805192507758E-3</v>
      </c>
      <c r="CP9" s="39">
        <f t="shared" si="114"/>
        <v>-3.8853406093021237E-3</v>
      </c>
      <c r="CQ9" s="39">
        <f t="shared" si="114"/>
        <v>1.4561771858130346E-3</v>
      </c>
      <c r="CR9" s="39">
        <f t="shared" si="114"/>
        <v>3.7777837052301866E-3</v>
      </c>
      <c r="CS9" s="39">
        <f t="shared" si="114"/>
        <v>5.3033745069641647E-4</v>
      </c>
      <c r="CT9" s="39">
        <f t="shared" si="114"/>
        <v>1.7080498148173584E-2</v>
      </c>
      <c r="CU9" s="39">
        <f t="shared" si="114"/>
        <v>7.1126026393215636E-3</v>
      </c>
      <c r="CV9" s="39">
        <f t="shared" si="114"/>
        <v>-1.1655091347008151E-3</v>
      </c>
      <c r="CW9" s="39">
        <f t="shared" si="114"/>
        <v>3.473579136794136E-3</v>
      </c>
      <c r="CX9" s="39">
        <f t="shared" si="114"/>
        <v>-8.5607534126427298E-3</v>
      </c>
      <c r="CY9" s="39">
        <f t="shared" si="114"/>
        <v>7.3587118223881198E-3</v>
      </c>
      <c r="CZ9" s="39">
        <f t="shared" si="114"/>
        <v>1.8400260451567618E-4</v>
      </c>
      <c r="DA9" s="39">
        <f t="shared" si="114"/>
        <v>2.5974551878087393E-3</v>
      </c>
      <c r="DB9" s="39">
        <f t="shared" si="114"/>
        <v>6.7548967100039548E-4</v>
      </c>
      <c r="DC9" s="39">
        <f t="shared" si="114"/>
        <v>5.431878048286265E-3</v>
      </c>
      <c r="DD9" s="39">
        <f t="shared" si="114"/>
        <v>2.9221234657268447E-3</v>
      </c>
      <c r="DE9" s="39">
        <f t="shared" si="114"/>
        <v>1.302398464895882E-3</v>
      </c>
      <c r="DF9" s="39">
        <f t="shared" si="114"/>
        <v>-1.7107002189046261E-3</v>
      </c>
      <c r="DG9" s="39">
        <f t="shared" si="114"/>
        <v>5.6030190776714672E-3</v>
      </c>
      <c r="DH9" s="39">
        <f t="shared" si="114"/>
        <v>7.0824023943338865E-4</v>
      </c>
      <c r="DI9" s="39">
        <f t="shared" si="114"/>
        <v>2.6320744017691577E-3</v>
      </c>
      <c r="DJ9" s="39">
        <f t="shared" si="114"/>
        <v>-8.2925285385537784E-4</v>
      </c>
      <c r="DK9" s="39">
        <f t="shared" si="114"/>
        <v>2.8407390295948076E-3</v>
      </c>
      <c r="DL9" s="39">
        <f t="shared" si="114"/>
        <v>-8.9645602058472384E-3</v>
      </c>
      <c r="DM9" s="39">
        <f t="shared" si="114"/>
        <v>5.1296161438219023E-3</v>
      </c>
      <c r="DN9" s="39">
        <f t="shared" si="114"/>
        <v>-5.9265206661626157E-3</v>
      </c>
      <c r="DO9" s="39">
        <f t="shared" si="114"/>
        <v>3.3228850998856529E-4</v>
      </c>
      <c r="DP9" s="39">
        <f t="shared" si="114"/>
        <v>-1.0003846800211713E-3</v>
      </c>
      <c r="DQ9" s="39">
        <f t="shared" si="114"/>
        <v>1.0147823820383373E-2</v>
      </c>
      <c r="DR9" s="39">
        <f t="shared" si="114"/>
        <v>4.7389334847955933E-3</v>
      </c>
      <c r="DS9" s="39">
        <f t="shared" si="114"/>
        <v>-9.4362076299614461E-4</v>
      </c>
      <c r="DT9" s="39">
        <f t="shared" si="114"/>
        <v>5.7978007061758596E-3</v>
      </c>
      <c r="DU9" s="39">
        <f t="shared" si="114"/>
        <v>3.1360599115830556E-3</v>
      </c>
      <c r="DV9" s="39">
        <f t="shared" si="114"/>
        <v>2.4947446843803789E-3</v>
      </c>
      <c r="DW9" s="39">
        <f t="shared" si="114"/>
        <v>4.4662715043717327E-3</v>
      </c>
      <c r="DX9" s="39">
        <f t="shared" si="114"/>
        <v>-2.3481150163815467E-3</v>
      </c>
      <c r="DY9" s="39">
        <f t="shared" si="114"/>
        <v>-5.0456080161065398E-4</v>
      </c>
      <c r="DZ9" s="39">
        <f t="shared" si="114"/>
        <v>4.5516892198662617E-3</v>
      </c>
      <c r="EA9" s="39">
        <f t="shared" si="114"/>
        <v>5.523225683431443E-3</v>
      </c>
      <c r="EB9" s="39">
        <f t="shared" si="114"/>
        <v>9.1861350572886025E-4</v>
      </c>
      <c r="EC9" s="39">
        <f t="shared" si="114"/>
        <v>2.5810617487356247E-3</v>
      </c>
      <c r="ED9" s="39">
        <f t="shared" si="114"/>
        <v>6.9167323313281681E-3</v>
      </c>
      <c r="EE9" s="39">
        <f t="shared" si="114"/>
        <v>-1.6826166726997549E-3</v>
      </c>
      <c r="EF9" s="39">
        <f t="shared" si="114"/>
        <v>2.6624265927734925E-3</v>
      </c>
      <c r="EG9" s="39">
        <f t="shared" si="114"/>
        <v>-3.1825860383327687E-3</v>
      </c>
      <c r="EH9" s="39">
        <f t="shared" si="114"/>
        <v>-9.123047615811064E-4</v>
      </c>
      <c r="EI9" s="39">
        <f t="shared" si="114"/>
        <v>-2.9789593848134066E-3</v>
      </c>
      <c r="EJ9" s="39">
        <f t="shared" si="114"/>
        <v>-2.7066581202931372E-3</v>
      </c>
      <c r="EK9" s="39">
        <f t="shared" si="114"/>
        <v>-7.193177083332114E-3</v>
      </c>
      <c r="EL9" s="39">
        <f t="shared" si="114"/>
        <v>9.7086068440563889E-3</v>
      </c>
      <c r="EM9" s="39">
        <f t="shared" si="114"/>
        <v>-1.7895036802663133E-3</v>
      </c>
      <c r="EN9" s="39">
        <f t="shared" si="114"/>
        <v>2.1756803952586168E-3</v>
      </c>
      <c r="EO9" s="39">
        <f t="shared" si="114"/>
        <v>1.0837862517079078E-3</v>
      </c>
      <c r="EP9" s="39">
        <f t="shared" si="114"/>
        <v>2.4305817280196873E-3</v>
      </c>
      <c r="EQ9" s="39">
        <f t="shared" ref="EQ9:HB9" si="115">EQ6/EP6-1</f>
        <v>-2.1475429481077057E-3</v>
      </c>
      <c r="ER9" s="39">
        <f t="shared" si="115"/>
        <v>8.6803432938091785E-3</v>
      </c>
      <c r="ES9" s="39">
        <f t="shared" si="115"/>
        <v>8.2600005107464902E-3</v>
      </c>
      <c r="ET9" s="39">
        <f t="shared" si="115"/>
        <v>-2.3209025106478709E-3</v>
      </c>
      <c r="EU9" s="39">
        <f t="shared" si="115"/>
        <v>-6.7862649285543863E-4</v>
      </c>
      <c r="EV9" s="39">
        <f t="shared" si="115"/>
        <v>9.2058942819051026E-5</v>
      </c>
      <c r="EW9" s="39">
        <f t="shared" si="115"/>
        <v>-1.9471081009886371E-3</v>
      </c>
      <c r="EX9" s="39">
        <f t="shared" si="115"/>
        <v>-9.0760613170226545E-4</v>
      </c>
      <c r="EY9" s="39">
        <f t="shared" si="115"/>
        <v>-2.4124888698072722E-3</v>
      </c>
      <c r="EZ9" s="39">
        <f t="shared" si="115"/>
        <v>1.4025688174871709E-2</v>
      </c>
      <c r="FA9" s="39">
        <f t="shared" si="115"/>
        <v>-4.7309569130178364E-3</v>
      </c>
      <c r="FB9" s="39">
        <f t="shared" si="115"/>
        <v>2.025944392902046E-3</v>
      </c>
      <c r="FC9" s="39">
        <f t="shared" si="115"/>
        <v>1.3199314390688333E-3</v>
      </c>
      <c r="FD9" s="39">
        <f t="shared" si="115"/>
        <v>2.3827372990643525E-3</v>
      </c>
      <c r="FE9" s="39">
        <f t="shared" si="115"/>
        <v>-3.0810758165016328E-3</v>
      </c>
      <c r="FF9" s="39">
        <f t="shared" si="115"/>
        <v>-5.4718392095890467E-3</v>
      </c>
      <c r="FG9" s="39">
        <f t="shared" si="115"/>
        <v>1.9448065707907691E-3</v>
      </c>
      <c r="FH9" s="39">
        <f t="shared" si="115"/>
        <v>5.7169089512412175E-3</v>
      </c>
      <c r="FI9" s="39">
        <f t="shared" si="115"/>
        <v>7.2982817232116748E-3</v>
      </c>
      <c r="FJ9" s="39">
        <f t="shared" si="115"/>
        <v>1.6746264361673369E-3</v>
      </c>
      <c r="FK9" s="39">
        <f t="shared" si="115"/>
        <v>6.1273357369362458E-4</v>
      </c>
      <c r="FL9" s="39">
        <f t="shared" si="115"/>
        <v>4.0755265267340413E-3</v>
      </c>
      <c r="FM9" s="39">
        <f t="shared" si="115"/>
        <v>3.8972913941122123E-3</v>
      </c>
      <c r="FN9" s="39">
        <f t="shared" si="115"/>
        <v>2.2325431001601892E-4</v>
      </c>
      <c r="FO9" s="39">
        <f t="shared" si="115"/>
        <v>2.1053087081410737E-3</v>
      </c>
      <c r="FP9" s="39">
        <f t="shared" si="115"/>
        <v>-1.9230641494073497E-3</v>
      </c>
      <c r="FQ9" s="39">
        <f t="shared" si="115"/>
        <v>-3.5526310682887363E-3</v>
      </c>
      <c r="FR9" s="39">
        <f t="shared" si="115"/>
        <v>-4.5167499288900625E-3</v>
      </c>
      <c r="FS9" s="39">
        <f t="shared" si="115"/>
        <v>4.5424234731967772E-3</v>
      </c>
      <c r="FT9" s="39">
        <f t="shared" si="115"/>
        <v>2.3444505742962196E-3</v>
      </c>
      <c r="FU9" s="39">
        <f t="shared" si="115"/>
        <v>1.9402982409681968E-3</v>
      </c>
      <c r="FV9" s="39">
        <f t="shared" si="115"/>
        <v>3.643271554537808E-3</v>
      </c>
      <c r="FW9" s="39">
        <f t="shared" si="115"/>
        <v>7.6615519559930512E-4</v>
      </c>
      <c r="FX9" s="39">
        <f t="shared" si="115"/>
        <v>2.4993960661259251E-3</v>
      </c>
      <c r="FY9" s="39">
        <f t="shared" si="115"/>
        <v>1.6434420778699277E-3</v>
      </c>
      <c r="FZ9" s="39">
        <f t="shared" si="115"/>
        <v>-4.827968332476007E-3</v>
      </c>
      <c r="GA9" s="39">
        <f t="shared" si="115"/>
        <v>3.6065675273797559E-3</v>
      </c>
      <c r="GB9" s="39">
        <f t="shared" si="115"/>
        <v>-1.7140594875251214E-3</v>
      </c>
      <c r="GC9" s="39">
        <f t="shared" si="115"/>
        <v>-1.8184416192760899E-2</v>
      </c>
      <c r="GD9" s="39">
        <f t="shared" si="115"/>
        <v>9.707390882004896E-3</v>
      </c>
      <c r="GE9" s="39">
        <f t="shared" si="115"/>
        <v>1.3678272933512758E-3</v>
      </c>
      <c r="GF9" s="39">
        <f t="shared" si="115"/>
        <v>2.7655006130848925E-3</v>
      </c>
      <c r="GG9" s="39">
        <f t="shared" si="115"/>
        <v>-3.3004422500397812E-3</v>
      </c>
      <c r="GH9" s="39">
        <f t="shared" si="115"/>
        <v>2.1060840634770095E-3</v>
      </c>
      <c r="GI9" s="39">
        <f t="shared" si="115"/>
        <v>7.2540567358281294E-3</v>
      </c>
      <c r="GJ9" s="39">
        <f t="shared" si="115"/>
        <v>-2.2238544303865293E-4</v>
      </c>
      <c r="GK9" s="39">
        <f t="shared" si="115"/>
        <v>2.7042649047404055E-4</v>
      </c>
      <c r="GL9" s="39">
        <f t="shared" si="115"/>
        <v>4.5687809356760312E-3</v>
      </c>
      <c r="GM9" s="39">
        <f t="shared" si="115"/>
        <v>3.9660972833384101E-3</v>
      </c>
      <c r="GN9" s="39">
        <f t="shared" si="115"/>
        <v>6.034806464379594E-3</v>
      </c>
      <c r="GO9" s="39">
        <f t="shared" si="115"/>
        <v>-1.0503893143540832E-3</v>
      </c>
      <c r="GP9" s="39">
        <f t="shared" si="115"/>
        <v>-3.434096694835187E-3</v>
      </c>
      <c r="GQ9" s="39">
        <f t="shared" si="115"/>
        <v>-5.4998395081441442E-3</v>
      </c>
      <c r="GR9" s="39">
        <f t="shared" si="115"/>
        <v>1.6723880142119896E-3</v>
      </c>
      <c r="GS9" s="39">
        <f t="shared" si="115"/>
        <v>7.45153862117931E-4</v>
      </c>
      <c r="GT9" s="39">
        <f t="shared" si="115"/>
        <v>-8.0180258727221565E-3</v>
      </c>
      <c r="GU9" s="39">
        <f t="shared" si="115"/>
        <v>3.2524563505400561E-3</v>
      </c>
      <c r="GV9" s="39">
        <f t="shared" si="115"/>
        <v>-3.4467366569231883E-3</v>
      </c>
      <c r="GW9" s="39">
        <f t="shared" si="115"/>
        <v>1.1555610019779339E-2</v>
      </c>
      <c r="GX9" s="39">
        <f t="shared" si="115"/>
        <v>1.6024816578197321E-3</v>
      </c>
      <c r="GY9" s="39">
        <f t="shared" si="115"/>
        <v>-1.0872109883826364E-2</v>
      </c>
      <c r="GZ9" s="39">
        <f t="shared" si="115"/>
        <v>-1.2340873811844677E-3</v>
      </c>
      <c r="HA9" s="39">
        <f t="shared" si="115"/>
        <v>-4.2022386320943461E-3</v>
      </c>
      <c r="HB9" s="39">
        <f t="shared" si="115"/>
        <v>-5.4873536273272183E-3</v>
      </c>
      <c r="HC9" s="39">
        <f t="shared" ref="HC9:HV9" si="116">HC6/HB6-1</f>
        <v>3.2554301243559181E-4</v>
      </c>
      <c r="HD9" s="39">
        <f t="shared" si="116"/>
        <v>-5.7226290196989993E-3</v>
      </c>
      <c r="HE9" s="39">
        <f t="shared" si="116"/>
        <v>4.9156632080809004E-3</v>
      </c>
      <c r="HF9" s="39">
        <f t="shared" si="116"/>
        <v>4.716011855272928E-3</v>
      </c>
      <c r="HG9" s="39">
        <f t="shared" si="116"/>
        <v>5.9569344678422897E-3</v>
      </c>
      <c r="HH9" s="39">
        <f t="shared" si="116"/>
        <v>2.0576243559551344E-3</v>
      </c>
      <c r="HI9" s="39">
        <f t="shared" si="116"/>
        <v>1.379655938790636E-3</v>
      </c>
      <c r="HJ9" s="39">
        <f t="shared" si="116"/>
        <v>7.0222481348378718E-3</v>
      </c>
      <c r="HK9" s="39">
        <f t="shared" si="116"/>
        <v>1.0095211949536775E-3</v>
      </c>
      <c r="HL9" s="39">
        <f t="shared" si="116"/>
        <v>-4.1991874631471804E-3</v>
      </c>
      <c r="HM9" s="39">
        <f t="shared" si="116"/>
        <v>9.796555500771742E-4</v>
      </c>
      <c r="HN9" s="39">
        <f t="shared" si="116"/>
        <v>2.843731484406975E-3</v>
      </c>
      <c r="HO9" s="39">
        <f t="shared" si="116"/>
        <v>6.4068902219927004E-4</v>
      </c>
      <c r="HP9" s="39">
        <f t="shared" si="116"/>
        <v>-1.1417502370868471E-3</v>
      </c>
      <c r="HQ9" s="39">
        <f t="shared" si="116"/>
        <v>-2.0714766784462046E-3</v>
      </c>
      <c r="HR9" s="39">
        <f t="shared" si="116"/>
        <v>-1.1385715322834722E-3</v>
      </c>
      <c r="HS9" s="39">
        <f t="shared" si="116"/>
        <v>5.3332154462910619E-3</v>
      </c>
      <c r="HT9" s="39">
        <f t="shared" si="116"/>
        <v>4.3935167538031727E-3</v>
      </c>
      <c r="HU9" s="39">
        <f t="shared" si="116"/>
        <v>-4.9499396973027299E-3</v>
      </c>
      <c r="HV9" s="39">
        <f t="shared" si="116"/>
        <v>2.1989233835340016E-5</v>
      </c>
      <c r="HW9" s="39">
        <f t="shared" ref="HW9:IB9" si="117">HW6/HV6-1</f>
        <v>-2.218640125528526E-3</v>
      </c>
      <c r="HX9" s="39">
        <f t="shared" si="117"/>
        <v>-3.5115706826920334E-3</v>
      </c>
      <c r="HY9" s="39">
        <f t="shared" si="117"/>
        <v>9.1130812854745002E-4</v>
      </c>
      <c r="HZ9" s="39">
        <f t="shared" si="117"/>
        <v>2.5401972549981E-3</v>
      </c>
      <c r="IA9" s="39">
        <f t="shared" si="117"/>
        <v>-1.0491054367048336E-2</v>
      </c>
      <c r="IB9" s="39">
        <f t="shared" si="117"/>
        <v>2.4564788992393893E-3</v>
      </c>
      <c r="IC9" s="39">
        <f t="shared" ref="IC9:JC9" si="118">IC6/IB6-1</f>
        <v>1.9710577344578262E-3</v>
      </c>
      <c r="ID9" s="39">
        <f t="shared" si="118"/>
        <v>2.2177603070705487E-3</v>
      </c>
      <c r="IE9" s="39">
        <f t="shared" si="118"/>
        <v>1.5634340827129778E-2</v>
      </c>
      <c r="IF9" s="39">
        <f t="shared" si="118"/>
        <v>-1.9869449711450438E-3</v>
      </c>
      <c r="IG9" s="39">
        <f t="shared" si="118"/>
        <v>1.9617720374656145E-3</v>
      </c>
      <c r="IH9" s="39">
        <f t="shared" si="118"/>
        <v>-8.3522278447134557E-4</v>
      </c>
      <c r="II9" s="39">
        <f t="shared" si="118"/>
        <v>-8.2255844946477197E-4</v>
      </c>
      <c r="IJ9" s="39">
        <f t="shared" si="118"/>
        <v>-2.7496200944437943E-3</v>
      </c>
      <c r="IK9" s="39">
        <f t="shared" si="118"/>
        <v>2.0623605626954866E-3</v>
      </c>
      <c r="IL9" s="39">
        <f t="shared" si="118"/>
        <v>4.5003419628533159E-3</v>
      </c>
      <c r="IM9" s="39">
        <f t="shared" si="118"/>
        <v>4.2846081331051611E-3</v>
      </c>
      <c r="IN9" s="39">
        <f t="shared" si="118"/>
        <v>-1.815482681477909E-3</v>
      </c>
      <c r="IO9" s="39">
        <f t="shared" si="118"/>
        <v>-1.9807695527829239E-4</v>
      </c>
      <c r="IP9" s="39">
        <f t="shared" si="118"/>
        <v>4.5010636448830077E-3</v>
      </c>
      <c r="IQ9" s="39">
        <f t="shared" si="118"/>
        <v>2.1678358878212123E-3</v>
      </c>
      <c r="IR9" s="39">
        <f t="shared" si="118"/>
        <v>-1.2917174815977317E-3</v>
      </c>
      <c r="IS9" s="39">
        <f t="shared" si="118"/>
        <v>5.8629969799328663E-5</v>
      </c>
      <c r="IT9" s="39">
        <f t="shared" si="118"/>
        <v>1.149992093434804E-3</v>
      </c>
      <c r="IU9" s="39">
        <f t="shared" si="118"/>
        <v>-9.5225302742063533E-4</v>
      </c>
      <c r="IV9" s="39">
        <f t="shared" si="118"/>
        <v>-1.0917435810146259E-2</v>
      </c>
      <c r="IW9" s="39">
        <f t="shared" si="118"/>
        <v>7.688058247646623E-3</v>
      </c>
      <c r="IX9" s="39">
        <f t="shared" si="118"/>
        <v>3.0795551358930862E-3</v>
      </c>
      <c r="IY9" s="39">
        <f t="shared" si="118"/>
        <v>2.134719310406874E-3</v>
      </c>
      <c r="IZ9" s="39">
        <f t="shared" si="118"/>
        <v>4.8286538880084606E-3</v>
      </c>
      <c r="JA9" s="39">
        <f t="shared" si="118"/>
        <v>-1.953788427633163E-3</v>
      </c>
      <c r="JB9" s="39">
        <f t="shared" si="118"/>
        <v>-2.1381173738177495E-6</v>
      </c>
      <c r="JC9" s="39">
        <f t="shared" si="118"/>
        <v>-3.996189147447593E-3</v>
      </c>
      <c r="JD9" s="39">
        <f t="shared" ref="JD9:JM9" si="119">JD6/JC6-1</f>
        <v>2.7650225432773734E-3</v>
      </c>
      <c r="JE9" s="39">
        <f t="shared" si="119"/>
        <v>-2.3755994302090411E-3</v>
      </c>
      <c r="JF9" s="39">
        <f t="shared" si="119"/>
        <v>-6.2840787077977911E-4</v>
      </c>
      <c r="JG9" s="39">
        <f t="shared" si="119"/>
        <v>-4.5292991145947648E-3</v>
      </c>
      <c r="JH9" s="39">
        <f t="shared" si="119"/>
        <v>1.0358709300399171E-2</v>
      </c>
      <c r="JI9" s="39">
        <f t="shared" si="119"/>
        <v>3.5106753766949161E-3</v>
      </c>
      <c r="JJ9" s="39">
        <f t="shared" si="119"/>
        <v>9.7973629009362462E-4</v>
      </c>
      <c r="JK9" s="39">
        <f t="shared" si="119"/>
        <v>-1.6302014969205025E-4</v>
      </c>
      <c r="JL9" s="39">
        <f t="shared" si="119"/>
        <v>-5.9728979568318685E-3</v>
      </c>
      <c r="JM9" s="39">
        <f t="shared" si="119"/>
        <v>2.1683639161471646E-3</v>
      </c>
    </row>
    <row r="10" spans="1:273" s="41" customFormat="1" x14ac:dyDescent="0.35"/>
    <row r="11" spans="1:273" s="98" customFormat="1" x14ac:dyDescent="0.35">
      <c r="CD11" s="97"/>
      <c r="DH11" s="98" t="s">
        <v>41</v>
      </c>
      <c r="DI11" s="98" t="s">
        <v>42</v>
      </c>
      <c r="DJ11" s="98" t="s">
        <v>43</v>
      </c>
      <c r="DK11" s="98" t="s">
        <v>44</v>
      </c>
      <c r="DL11" s="98" t="s">
        <v>45</v>
      </c>
      <c r="DM11" s="98" t="s">
        <v>46</v>
      </c>
      <c r="DN11" s="98" t="s">
        <v>47</v>
      </c>
      <c r="DO11" s="98" t="s">
        <v>48</v>
      </c>
      <c r="DP11" s="98" t="s">
        <v>147</v>
      </c>
      <c r="DQ11" s="98" t="s">
        <v>66</v>
      </c>
      <c r="DR11" s="98" t="s">
        <v>68</v>
      </c>
      <c r="DS11" s="98" t="s">
        <v>69</v>
      </c>
      <c r="DT11" s="98" t="s">
        <v>76</v>
      </c>
      <c r="DU11" s="98" t="s">
        <v>79</v>
      </c>
      <c r="DV11" s="98" t="s">
        <v>89</v>
      </c>
      <c r="DW11" s="98" t="s">
        <v>90</v>
      </c>
      <c r="DX11" s="98" t="s">
        <v>92</v>
      </c>
      <c r="DY11" s="98" t="s">
        <v>93</v>
      </c>
      <c r="DZ11" s="98" t="s">
        <v>94</v>
      </c>
      <c r="EA11" s="98" t="s">
        <v>97</v>
      </c>
      <c r="EB11" s="98" t="s">
        <v>99</v>
      </c>
      <c r="EC11" s="98" t="s">
        <v>100</v>
      </c>
      <c r="ED11" s="98" t="s">
        <v>101</v>
      </c>
      <c r="EE11" s="98" t="s">
        <v>106</v>
      </c>
      <c r="EF11" s="98" t="s">
        <v>68</v>
      </c>
      <c r="EG11" s="98" t="s">
        <v>111</v>
      </c>
      <c r="EH11" s="98" t="s">
        <v>112</v>
      </c>
      <c r="EI11" s="98" t="s">
        <v>116</v>
      </c>
      <c r="EJ11" s="98" t="s">
        <v>117</v>
      </c>
      <c r="EK11" s="98" t="s">
        <v>118</v>
      </c>
      <c r="EL11" s="98" t="s">
        <v>119</v>
      </c>
      <c r="EM11" s="98" t="s">
        <v>120</v>
      </c>
      <c r="EN11" s="98" t="s">
        <v>121</v>
      </c>
      <c r="EO11" s="98" t="s">
        <v>122</v>
      </c>
      <c r="EP11" s="98" t="s">
        <v>97</v>
      </c>
      <c r="EQ11" s="98" t="s">
        <v>129</v>
      </c>
      <c r="ER11" s="98" t="s">
        <v>133</v>
      </c>
      <c r="ES11" s="98" t="s">
        <v>134</v>
      </c>
      <c r="ET11" s="98" t="s">
        <v>136</v>
      </c>
      <c r="EU11" s="98" t="s">
        <v>137</v>
      </c>
      <c r="EV11" s="98" t="s">
        <v>138</v>
      </c>
      <c r="EW11" s="98" t="s">
        <v>139</v>
      </c>
      <c r="EX11" s="98" t="s">
        <v>140</v>
      </c>
      <c r="EY11" s="98" t="s">
        <v>141</v>
      </c>
      <c r="EZ11" s="98" t="s">
        <v>142</v>
      </c>
      <c r="FA11" s="98" t="s">
        <v>143</v>
      </c>
      <c r="FB11" s="98" t="s">
        <v>144</v>
      </c>
      <c r="FC11" s="98" t="s">
        <v>145</v>
      </c>
      <c r="FD11" s="98" t="s">
        <v>146</v>
      </c>
      <c r="FE11" s="98" t="s">
        <v>148</v>
      </c>
      <c r="FF11" s="98" t="s">
        <v>149</v>
      </c>
      <c r="FG11" s="98" t="s">
        <v>150</v>
      </c>
      <c r="FH11" s="98" t="s">
        <v>151</v>
      </c>
      <c r="FI11" s="98" t="s">
        <v>152</v>
      </c>
      <c r="FJ11" s="98" t="s">
        <v>152</v>
      </c>
      <c r="FK11" s="98" t="s">
        <v>152</v>
      </c>
      <c r="FL11" s="98" t="s">
        <v>152</v>
      </c>
      <c r="FM11" s="98" t="s">
        <v>153</v>
      </c>
      <c r="FN11" s="98" t="s">
        <v>154</v>
      </c>
      <c r="FO11" s="98" t="s">
        <v>155</v>
      </c>
      <c r="FP11" s="98" t="s">
        <v>157</v>
      </c>
      <c r="FQ11" s="98" t="s">
        <v>157</v>
      </c>
      <c r="FR11" s="98" t="s">
        <v>158</v>
      </c>
      <c r="FS11" s="98" t="s">
        <v>159</v>
      </c>
      <c r="FT11" s="98" t="s">
        <v>160</v>
      </c>
      <c r="FU11" s="98" t="s">
        <v>145</v>
      </c>
      <c r="FV11" s="98" t="s">
        <v>161</v>
      </c>
      <c r="FW11" s="98" t="s">
        <v>162</v>
      </c>
      <c r="FX11" s="98" t="s">
        <v>163</v>
      </c>
      <c r="FY11" s="98" t="s">
        <v>165</v>
      </c>
      <c r="FZ11" s="98" t="s">
        <v>166</v>
      </c>
      <c r="GA11" s="98" t="s">
        <v>168</v>
      </c>
      <c r="GB11" s="98" t="s">
        <v>169</v>
      </c>
      <c r="GC11" s="98" t="s">
        <v>171</v>
      </c>
      <c r="GD11" s="98" t="s">
        <v>172</v>
      </c>
      <c r="GE11" s="98" t="s">
        <v>173</v>
      </c>
      <c r="GF11" s="98" t="s">
        <v>119</v>
      </c>
      <c r="GG11" s="98" t="s">
        <v>174</v>
      </c>
      <c r="GH11" s="98" t="s">
        <v>187</v>
      </c>
      <c r="GI11" s="98" t="s">
        <v>140</v>
      </c>
      <c r="GJ11" s="98" t="s">
        <v>188</v>
      </c>
      <c r="GK11" s="98" t="s">
        <v>189</v>
      </c>
      <c r="GL11" s="98" t="s">
        <v>190</v>
      </c>
      <c r="GM11" s="98" t="s">
        <v>194</v>
      </c>
      <c r="GN11" s="98" t="s">
        <v>195</v>
      </c>
      <c r="GO11" s="98" t="s">
        <v>196</v>
      </c>
      <c r="GP11" s="98" t="s">
        <v>199</v>
      </c>
      <c r="GQ11" s="98" t="s">
        <v>42</v>
      </c>
      <c r="GR11" s="98" t="s">
        <v>200</v>
      </c>
      <c r="GS11" s="98" t="s">
        <v>205</v>
      </c>
      <c r="GT11" s="98" t="s">
        <v>206</v>
      </c>
      <c r="GU11" s="98" t="s">
        <v>207</v>
      </c>
      <c r="GV11" s="98" t="s">
        <v>208</v>
      </c>
      <c r="GW11" s="98" t="s">
        <v>200</v>
      </c>
      <c r="GX11" s="98" t="s">
        <v>209</v>
      </c>
      <c r="GY11" s="98" t="s">
        <v>210</v>
      </c>
      <c r="GZ11" s="98" t="s">
        <v>211</v>
      </c>
      <c r="HA11" s="98" t="s">
        <v>215</v>
      </c>
      <c r="HB11" s="98" t="s">
        <v>216</v>
      </c>
      <c r="HC11" s="98" t="s">
        <v>217</v>
      </c>
      <c r="HD11" s="98" t="s">
        <v>218</v>
      </c>
      <c r="HE11" s="98" t="s">
        <v>221</v>
      </c>
      <c r="HF11" s="98" t="s">
        <v>234</v>
      </c>
      <c r="HG11" s="98" t="s">
        <v>235</v>
      </c>
      <c r="HH11" s="98" t="s">
        <v>237</v>
      </c>
      <c r="HI11" s="98" t="s">
        <v>239</v>
      </c>
      <c r="HJ11" s="98" t="s">
        <v>200</v>
      </c>
      <c r="HK11" s="98" t="s">
        <v>240</v>
      </c>
      <c r="HL11" s="98" t="s">
        <v>241</v>
      </c>
      <c r="HM11" s="98" t="s">
        <v>242</v>
      </c>
      <c r="HN11" s="98" t="s">
        <v>249</v>
      </c>
      <c r="HO11" s="98" t="s">
        <v>251</v>
      </c>
      <c r="HP11" s="98" t="s">
        <v>251</v>
      </c>
      <c r="HQ11" s="98" t="s">
        <v>251</v>
      </c>
      <c r="HR11" s="98" t="s">
        <v>138</v>
      </c>
      <c r="HS11" s="98" t="s">
        <v>252</v>
      </c>
      <c r="HT11" s="98" t="s">
        <v>254</v>
      </c>
      <c r="HU11" s="98" t="s">
        <v>262</v>
      </c>
      <c r="HV11" s="98" t="s">
        <v>263</v>
      </c>
      <c r="HW11" s="98" t="s">
        <v>265</v>
      </c>
      <c r="HX11" s="98" t="s">
        <v>292</v>
      </c>
      <c r="HY11" s="98" t="s">
        <v>293</v>
      </c>
      <c r="HZ11" s="98" t="s">
        <v>237</v>
      </c>
      <c r="IA11" s="98" t="s">
        <v>294</v>
      </c>
      <c r="IB11" s="98" t="s">
        <v>262</v>
      </c>
      <c r="IC11" s="98" t="s">
        <v>306</v>
      </c>
      <c r="ID11" s="98" t="s">
        <v>307</v>
      </c>
      <c r="IE11" s="98" t="s">
        <v>308</v>
      </c>
      <c r="IF11" s="98" t="s">
        <v>309</v>
      </c>
      <c r="IG11" s="98" t="s">
        <v>165</v>
      </c>
      <c r="IH11" s="98" t="s">
        <v>310</v>
      </c>
      <c r="II11" s="98" t="s">
        <v>311</v>
      </c>
      <c r="IJ11" s="98" t="s">
        <v>206</v>
      </c>
      <c r="IK11" s="98" t="s">
        <v>312</v>
      </c>
      <c r="IL11" s="98" t="s">
        <v>313</v>
      </c>
      <c r="IM11" s="98" t="s">
        <v>314</v>
      </c>
      <c r="IN11" s="98" t="s">
        <v>111</v>
      </c>
      <c r="IO11" s="98" t="s">
        <v>324</v>
      </c>
      <c r="IP11" s="98" t="s">
        <v>325</v>
      </c>
      <c r="IQ11" s="98" t="s">
        <v>326</v>
      </c>
      <c r="IR11" s="98" t="s">
        <v>328</v>
      </c>
      <c r="IS11" s="98" t="s">
        <v>334</v>
      </c>
      <c r="IT11" s="98" t="s">
        <v>338</v>
      </c>
      <c r="IU11" s="98" t="s">
        <v>339</v>
      </c>
      <c r="IV11" s="98" t="s">
        <v>352</v>
      </c>
      <c r="IW11" s="98" t="s">
        <v>354</v>
      </c>
      <c r="IX11" s="98" t="s">
        <v>357</v>
      </c>
      <c r="IY11" s="98" t="s">
        <v>370</v>
      </c>
      <c r="IZ11" s="98" t="s">
        <v>384</v>
      </c>
      <c r="JA11" s="98" t="s">
        <v>385</v>
      </c>
      <c r="JB11" s="98" t="s">
        <v>386</v>
      </c>
      <c r="JC11" s="98" t="s">
        <v>387</v>
      </c>
      <c r="JD11" s="98" t="s">
        <v>393</v>
      </c>
      <c r="JE11" s="98" t="s">
        <v>394</v>
      </c>
      <c r="JF11" s="98" t="s">
        <v>398</v>
      </c>
      <c r="JG11" s="98" t="s">
        <v>406</v>
      </c>
      <c r="JH11" s="98" t="s">
        <v>407</v>
      </c>
      <c r="JI11" s="98" t="s">
        <v>89</v>
      </c>
      <c r="JJ11" s="98" t="s">
        <v>339</v>
      </c>
      <c r="JK11" s="98" t="s">
        <v>423</v>
      </c>
      <c r="JL11" s="98" t="s">
        <v>435</v>
      </c>
      <c r="JM11" s="98" t="s">
        <v>440</v>
      </c>
    </row>
    <row r="12" spans="1:273" x14ac:dyDescent="0.35">
      <c r="A12" s="272" t="s">
        <v>78</v>
      </c>
      <c r="B12" s="272"/>
      <c r="S12" s="95">
        <f>(CURRENT_401K-trump_inaugerated)/trump_inaugerated</f>
        <v>0.2262985312308711</v>
      </c>
      <c r="BO12" s="93"/>
      <c r="CD12" s="4"/>
    </row>
    <row r="13" spans="1:273" x14ac:dyDescent="0.35">
      <c r="A13" s="273" t="s">
        <v>77</v>
      </c>
      <c r="B13" s="273"/>
      <c r="S13" s="95">
        <f>(CURRENT_401K-the_dip_1)/the_dip_1</f>
        <v>0.29748209259062475</v>
      </c>
      <c r="BO13" s="93"/>
      <c r="EP13" t="s">
        <v>156</v>
      </c>
    </row>
    <row r="14" spans="1:273" x14ac:dyDescent="0.35">
      <c r="S14" t="s">
        <v>170</v>
      </c>
      <c r="T14" s="109" t="str">
        <f t="shared" ref="T14:AC14" si="120">TEXT(DATEVALUE(TEXT(T1,"0000-00-00")), "ddd")</f>
        <v>Tue</v>
      </c>
      <c r="U14" s="109" t="str">
        <f t="shared" si="120"/>
        <v>Thu</v>
      </c>
      <c r="V14" s="109" t="str">
        <f t="shared" si="120"/>
        <v>Fri</v>
      </c>
      <c r="W14" s="109" t="str">
        <f t="shared" si="120"/>
        <v>Mon</v>
      </c>
      <c r="X14" s="109" t="str">
        <f t="shared" si="120"/>
        <v>Tue</v>
      </c>
      <c r="Y14" s="109" t="str">
        <f t="shared" si="120"/>
        <v>Wed</v>
      </c>
      <c r="Z14" s="109" t="str">
        <f t="shared" si="120"/>
        <v>Sat</v>
      </c>
      <c r="AA14" s="109" t="str">
        <f t="shared" si="120"/>
        <v>Mon</v>
      </c>
      <c r="AB14" s="109" t="str">
        <f t="shared" si="120"/>
        <v>Wed</v>
      </c>
      <c r="AC14" s="109" t="str">
        <f t="shared" si="120"/>
        <v>Thu</v>
      </c>
      <c r="AD14" s="109" t="str">
        <f t="shared" ref="AD14:CO14" si="121">TEXT(DATEVALUE(TEXT(AD1,"0000-00-00")), "ddd")</f>
        <v>Fri</v>
      </c>
      <c r="AE14" s="109" t="str">
        <f t="shared" si="121"/>
        <v>Sat</v>
      </c>
      <c r="AF14" s="109" t="str">
        <f t="shared" si="121"/>
        <v>Mon</v>
      </c>
      <c r="AG14" s="109" t="str">
        <f t="shared" si="121"/>
        <v>Thu</v>
      </c>
      <c r="AH14" s="109" t="str">
        <f t="shared" si="121"/>
        <v>Fri</v>
      </c>
      <c r="AI14" s="109" t="str">
        <f t="shared" si="121"/>
        <v>Sat</v>
      </c>
      <c r="AJ14" s="109" t="str">
        <f t="shared" si="121"/>
        <v>Tue</v>
      </c>
      <c r="AK14" s="109" t="str">
        <f t="shared" si="121"/>
        <v>Wed</v>
      </c>
      <c r="AL14" s="109" t="str">
        <f t="shared" si="121"/>
        <v>Thu</v>
      </c>
      <c r="AM14" s="109" t="str">
        <f t="shared" si="121"/>
        <v>Fri</v>
      </c>
      <c r="AN14" s="109" t="str">
        <f t="shared" si="121"/>
        <v>Sat</v>
      </c>
      <c r="AO14" s="109" t="str">
        <f t="shared" si="121"/>
        <v>Mon</v>
      </c>
      <c r="AP14" s="109" t="str">
        <f t="shared" si="121"/>
        <v>Tue</v>
      </c>
      <c r="AQ14" s="109" t="str">
        <f t="shared" si="121"/>
        <v>Wed</v>
      </c>
      <c r="AR14" s="109" t="str">
        <f t="shared" si="121"/>
        <v>Thu</v>
      </c>
      <c r="AS14" s="109" t="str">
        <f t="shared" si="121"/>
        <v>Fri</v>
      </c>
      <c r="AT14" s="109" t="str">
        <f t="shared" si="121"/>
        <v>Sat</v>
      </c>
      <c r="AU14" s="109" t="str">
        <f t="shared" si="121"/>
        <v>Mon</v>
      </c>
      <c r="AV14" s="109" t="str">
        <f t="shared" si="121"/>
        <v>Tue</v>
      </c>
      <c r="AW14" s="109" t="str">
        <f t="shared" si="121"/>
        <v>Wed</v>
      </c>
      <c r="AX14" s="109" t="str">
        <f t="shared" si="121"/>
        <v>Thu</v>
      </c>
      <c r="AY14" s="109" t="str">
        <f t="shared" si="121"/>
        <v>Fri</v>
      </c>
      <c r="AZ14" s="109" t="str">
        <f t="shared" si="121"/>
        <v>Sat</v>
      </c>
      <c r="BA14" s="109" t="str">
        <f t="shared" si="121"/>
        <v>Tue</v>
      </c>
      <c r="BB14" s="109" t="str">
        <f t="shared" si="121"/>
        <v>Wed</v>
      </c>
      <c r="BC14" s="109" t="str">
        <f t="shared" si="121"/>
        <v>Thu</v>
      </c>
      <c r="BD14" s="109" t="str">
        <f t="shared" si="121"/>
        <v>Fri</v>
      </c>
      <c r="BE14" s="109" t="str">
        <f t="shared" si="121"/>
        <v>Mon</v>
      </c>
      <c r="BF14" s="109" t="str">
        <f t="shared" si="121"/>
        <v>Tue</v>
      </c>
      <c r="BG14" s="109" t="str">
        <f t="shared" si="121"/>
        <v>Wed</v>
      </c>
      <c r="BH14" s="109" t="str">
        <f t="shared" si="121"/>
        <v>Thu</v>
      </c>
      <c r="BI14" s="109" t="str">
        <f t="shared" si="121"/>
        <v>Fri</v>
      </c>
      <c r="BJ14" s="109" t="str">
        <f t="shared" si="121"/>
        <v>Mon</v>
      </c>
      <c r="BK14" s="109" t="str">
        <f t="shared" si="121"/>
        <v>Tue</v>
      </c>
      <c r="BL14" s="109" t="str">
        <f t="shared" si="121"/>
        <v>Wed</v>
      </c>
      <c r="BM14" s="109" t="str">
        <f t="shared" si="121"/>
        <v>Thu</v>
      </c>
      <c r="BN14" s="109" t="str">
        <f t="shared" si="121"/>
        <v>Fri</v>
      </c>
      <c r="BO14" s="109" t="str">
        <f t="shared" si="121"/>
        <v>Mon</v>
      </c>
      <c r="BP14" s="109" t="str">
        <f t="shared" si="121"/>
        <v>Tue</v>
      </c>
      <c r="BQ14" s="109" t="str">
        <f t="shared" si="121"/>
        <v>Wed</v>
      </c>
      <c r="BR14" s="109" t="str">
        <f t="shared" si="121"/>
        <v>Thu</v>
      </c>
      <c r="BS14" s="109" t="str">
        <f t="shared" si="121"/>
        <v>Fri</v>
      </c>
      <c r="BT14" s="109" t="str">
        <f t="shared" si="121"/>
        <v>Mon</v>
      </c>
      <c r="BU14" s="109" t="str">
        <f t="shared" si="121"/>
        <v>Tue</v>
      </c>
      <c r="BV14" s="109" t="str">
        <f t="shared" si="121"/>
        <v>Wed</v>
      </c>
      <c r="BW14" s="109" t="str">
        <f t="shared" si="121"/>
        <v>Thu</v>
      </c>
      <c r="BX14" s="109" t="str">
        <f t="shared" si="121"/>
        <v>Fri</v>
      </c>
      <c r="BY14" s="109" t="str">
        <f t="shared" si="121"/>
        <v>Sat</v>
      </c>
      <c r="BZ14" s="109" t="str">
        <f t="shared" si="121"/>
        <v>Mon</v>
      </c>
      <c r="CA14" s="109" t="str">
        <f t="shared" si="121"/>
        <v>Tue</v>
      </c>
      <c r="CB14" s="109" t="str">
        <f t="shared" si="121"/>
        <v>Wed</v>
      </c>
      <c r="CC14" s="109" t="str">
        <f t="shared" si="121"/>
        <v>Thu</v>
      </c>
      <c r="CD14" s="109" t="str">
        <f t="shared" si="121"/>
        <v>Fri</v>
      </c>
      <c r="CE14" s="109" t="str">
        <f t="shared" si="121"/>
        <v>Mon</v>
      </c>
      <c r="CF14" s="109" t="str">
        <f t="shared" si="121"/>
        <v>Tue</v>
      </c>
      <c r="CG14" s="109" t="str">
        <f t="shared" si="121"/>
        <v>Wed</v>
      </c>
      <c r="CH14" s="109" t="str">
        <f t="shared" si="121"/>
        <v>Thu</v>
      </c>
      <c r="CI14" s="109" t="str">
        <f t="shared" si="121"/>
        <v>Fri</v>
      </c>
      <c r="CJ14" s="109" t="str">
        <f t="shared" si="121"/>
        <v>Mon</v>
      </c>
      <c r="CK14" s="109" t="str">
        <f t="shared" si="121"/>
        <v>Tue</v>
      </c>
      <c r="CL14" s="109" t="str">
        <f t="shared" si="121"/>
        <v>Wed</v>
      </c>
      <c r="CM14" s="109" t="str">
        <f t="shared" si="121"/>
        <v>Thu</v>
      </c>
      <c r="CN14" s="109" t="str">
        <f t="shared" si="121"/>
        <v>Fri</v>
      </c>
      <c r="CO14" s="109" t="str">
        <f t="shared" si="121"/>
        <v>Mon</v>
      </c>
      <c r="CP14" s="109" t="str">
        <f t="shared" ref="CP14:EZ14" si="122">TEXT(DATEVALUE(TEXT(CP1,"0000-00-00")), "ddd")</f>
        <v>Tue</v>
      </c>
      <c r="CQ14" s="109" t="str">
        <f t="shared" si="122"/>
        <v>Wed</v>
      </c>
      <c r="CR14" s="109" t="str">
        <f t="shared" si="122"/>
        <v>Thu</v>
      </c>
      <c r="CS14" s="109" t="str">
        <f t="shared" si="122"/>
        <v>Fri</v>
      </c>
      <c r="CT14" s="109" t="str">
        <f t="shared" si="122"/>
        <v>Mon</v>
      </c>
      <c r="CU14" s="109" t="str">
        <f t="shared" si="122"/>
        <v>Tue</v>
      </c>
      <c r="CV14" s="109" t="str">
        <f t="shared" si="122"/>
        <v>Wed</v>
      </c>
      <c r="CW14" s="109" t="str">
        <f t="shared" si="122"/>
        <v>Thu</v>
      </c>
      <c r="CX14" s="109" t="str">
        <f t="shared" si="122"/>
        <v>Thu</v>
      </c>
      <c r="CY14" s="109" t="str">
        <f t="shared" si="122"/>
        <v>Tue</v>
      </c>
      <c r="CZ14" s="109" t="str">
        <f t="shared" si="122"/>
        <v>Wed</v>
      </c>
      <c r="DA14" s="109" t="str">
        <f t="shared" si="122"/>
        <v>Thu</v>
      </c>
      <c r="DB14" s="109" t="str">
        <f t="shared" si="122"/>
        <v>Fri</v>
      </c>
      <c r="DC14" s="109" t="str">
        <f t="shared" si="122"/>
        <v>Mon</v>
      </c>
      <c r="DD14" s="109" t="str">
        <f t="shared" si="122"/>
        <v>Tue</v>
      </c>
      <c r="DE14" s="109" t="str">
        <f t="shared" si="122"/>
        <v>Wed</v>
      </c>
      <c r="DF14" s="109" t="str">
        <f t="shared" si="122"/>
        <v>Thu</v>
      </c>
      <c r="DG14" s="109" t="str">
        <f t="shared" si="122"/>
        <v>Fri</v>
      </c>
      <c r="DH14" s="109" t="str">
        <f t="shared" si="122"/>
        <v>Mon</v>
      </c>
      <c r="DI14" s="109" t="str">
        <f t="shared" si="122"/>
        <v>Tue</v>
      </c>
      <c r="DJ14" s="109" t="str">
        <f t="shared" si="122"/>
        <v>Wed</v>
      </c>
      <c r="DK14" s="109" t="str">
        <f t="shared" si="122"/>
        <v>Thu</v>
      </c>
      <c r="DL14" s="109" t="str">
        <f t="shared" si="122"/>
        <v>Fri</v>
      </c>
      <c r="DM14" s="109" t="str">
        <f t="shared" si="122"/>
        <v>Mon</v>
      </c>
      <c r="DN14" s="109" t="str">
        <f t="shared" si="122"/>
        <v>Tue</v>
      </c>
      <c r="DO14" s="109" t="str">
        <f t="shared" si="122"/>
        <v>Wed</v>
      </c>
      <c r="DP14" s="109" t="str">
        <f t="shared" si="122"/>
        <v>Fri</v>
      </c>
      <c r="DQ14" s="109" t="str">
        <f t="shared" si="122"/>
        <v>Mon</v>
      </c>
      <c r="DR14" s="109" t="str">
        <f t="shared" si="122"/>
        <v>Tue</v>
      </c>
      <c r="DS14" s="109" t="str">
        <f t="shared" si="122"/>
        <v>Wed</v>
      </c>
      <c r="DT14" s="109" t="str">
        <f t="shared" si="122"/>
        <v>Thu</v>
      </c>
      <c r="DU14" s="109" t="str">
        <f t="shared" si="122"/>
        <v>Fri</v>
      </c>
      <c r="DV14" s="109" t="str">
        <f t="shared" si="122"/>
        <v>Mon</v>
      </c>
      <c r="DW14" s="109" t="str">
        <f t="shared" si="122"/>
        <v>Mon</v>
      </c>
      <c r="DX14" s="109" t="str">
        <f t="shared" si="122"/>
        <v>Tue</v>
      </c>
      <c r="DY14" s="109" t="str">
        <f t="shared" si="122"/>
        <v>Wed</v>
      </c>
      <c r="DZ14" s="109" t="str">
        <f t="shared" si="122"/>
        <v>Thu</v>
      </c>
      <c r="EA14" s="109" t="str">
        <f t="shared" si="122"/>
        <v>Fri</v>
      </c>
      <c r="EB14" s="109" t="str">
        <f t="shared" si="122"/>
        <v>Mon</v>
      </c>
      <c r="EC14" s="109" t="str">
        <f t="shared" si="122"/>
        <v>Tue</v>
      </c>
      <c r="ED14" s="109" t="str">
        <f t="shared" si="122"/>
        <v>Wed</v>
      </c>
      <c r="EE14" s="109" t="str">
        <f t="shared" si="122"/>
        <v>Thu</v>
      </c>
      <c r="EF14" s="109" t="str">
        <f t="shared" si="122"/>
        <v>Fri</v>
      </c>
      <c r="EG14" s="109" t="str">
        <f t="shared" si="122"/>
        <v>Mon</v>
      </c>
      <c r="EH14" s="109" t="str">
        <f t="shared" si="122"/>
        <v>Tue</v>
      </c>
      <c r="EI14" s="109" t="str">
        <f t="shared" si="122"/>
        <v>Wed</v>
      </c>
      <c r="EJ14" s="109" t="str">
        <f t="shared" si="122"/>
        <v>Thu</v>
      </c>
      <c r="EK14" s="109" t="str">
        <f t="shared" si="122"/>
        <v>Fri</v>
      </c>
      <c r="EL14" s="109" t="str">
        <f t="shared" si="122"/>
        <v>Mon</v>
      </c>
      <c r="EM14" s="109" t="str">
        <f t="shared" si="122"/>
        <v>Tue</v>
      </c>
      <c r="EN14" s="109" t="str">
        <f t="shared" si="122"/>
        <v>Wed</v>
      </c>
      <c r="EO14" s="109" t="str">
        <f t="shared" si="122"/>
        <v>Thu</v>
      </c>
      <c r="EP14" s="109" t="str">
        <f t="shared" si="122"/>
        <v>Fri</v>
      </c>
      <c r="EQ14" s="109" t="str">
        <f t="shared" si="122"/>
        <v>Mon</v>
      </c>
      <c r="ER14" s="109" t="str">
        <f t="shared" si="122"/>
        <v>Tue</v>
      </c>
      <c r="ES14" s="109" t="str">
        <f t="shared" si="122"/>
        <v>Wed</v>
      </c>
      <c r="ET14" s="109" t="str">
        <f t="shared" si="122"/>
        <v>Thu</v>
      </c>
      <c r="EU14" s="109" t="str">
        <f t="shared" si="122"/>
        <v>Fri</v>
      </c>
      <c r="EV14" s="109" t="str">
        <f t="shared" si="122"/>
        <v>Mon</v>
      </c>
      <c r="EW14" s="109" t="str">
        <f t="shared" si="122"/>
        <v>Tue</v>
      </c>
      <c r="EX14" s="109" t="str">
        <f t="shared" si="122"/>
        <v>Wed</v>
      </c>
      <c r="EY14" s="109" t="str">
        <f t="shared" si="122"/>
        <v>Thu</v>
      </c>
      <c r="EZ14" s="109" t="str">
        <f t="shared" si="122"/>
        <v>Fri</v>
      </c>
      <c r="FA14" s="109" t="str">
        <f t="shared" ref="FA14:GA14" si="123">TEXT(DATEVALUE(TEXT(FA1,"0000-00-00")), "ddd")</f>
        <v>Mon</v>
      </c>
      <c r="FB14" s="109" t="str">
        <f t="shared" si="123"/>
        <v>Tue</v>
      </c>
      <c r="FC14" s="109" t="str">
        <f t="shared" si="123"/>
        <v>Wed</v>
      </c>
      <c r="FD14" s="109" t="str">
        <f t="shared" si="123"/>
        <v>Thu</v>
      </c>
      <c r="FE14" s="109" t="str">
        <f t="shared" si="123"/>
        <v>Fri</v>
      </c>
      <c r="FF14" s="109" t="str">
        <f t="shared" si="123"/>
        <v>Tue</v>
      </c>
      <c r="FG14" s="109" t="str">
        <f t="shared" si="123"/>
        <v>Wed</v>
      </c>
      <c r="FH14" s="109" t="str">
        <f t="shared" si="123"/>
        <v>Thu</v>
      </c>
      <c r="FI14" s="109" t="str">
        <f t="shared" si="123"/>
        <v>Fri</v>
      </c>
      <c r="FJ14" s="109" t="str">
        <f t="shared" si="123"/>
        <v>Mon</v>
      </c>
      <c r="FK14" s="109" t="str">
        <f t="shared" si="123"/>
        <v>Tue</v>
      </c>
      <c r="FL14" s="109" t="str">
        <f t="shared" si="123"/>
        <v>Wed</v>
      </c>
      <c r="FM14" s="109" t="str">
        <f t="shared" si="123"/>
        <v>Thu</v>
      </c>
      <c r="FN14" s="109" t="str">
        <f t="shared" si="123"/>
        <v>Fri</v>
      </c>
      <c r="FO14" s="109" t="str">
        <f t="shared" si="123"/>
        <v>Mon</v>
      </c>
      <c r="FP14" s="109" t="str">
        <f t="shared" si="123"/>
        <v>Tue</v>
      </c>
      <c r="FQ14" s="109" t="str">
        <f t="shared" si="123"/>
        <v>Wed</v>
      </c>
      <c r="FR14" s="109" t="str">
        <f t="shared" si="123"/>
        <v>Thu</v>
      </c>
      <c r="FS14" s="109" t="str">
        <f t="shared" si="123"/>
        <v>Fri</v>
      </c>
      <c r="FT14" s="109" t="str">
        <f t="shared" si="123"/>
        <v>Mon</v>
      </c>
      <c r="FU14" s="109" t="str">
        <f t="shared" si="123"/>
        <v>Tue</v>
      </c>
      <c r="FV14" s="109" t="str">
        <f t="shared" si="123"/>
        <v>Wed</v>
      </c>
      <c r="FW14" s="109" t="str">
        <f t="shared" si="123"/>
        <v>Thu</v>
      </c>
      <c r="FX14" s="109" t="str">
        <f t="shared" si="123"/>
        <v>Fri</v>
      </c>
      <c r="FY14" s="109" t="str">
        <f t="shared" si="123"/>
        <v>Mon</v>
      </c>
      <c r="FZ14" s="109" t="str">
        <f t="shared" si="123"/>
        <v>Tue</v>
      </c>
      <c r="GA14" s="109" t="str">
        <f t="shared" si="123"/>
        <v>Wed</v>
      </c>
      <c r="GB14" s="109" t="str">
        <f t="shared" ref="GB14:GG14" si="124">TEXT(DATEVALUE(TEXT(GB1,"0000-00-00")), "ddd")</f>
        <v>Thu</v>
      </c>
      <c r="GC14" s="109" t="str">
        <f t="shared" si="124"/>
        <v>Fri</v>
      </c>
      <c r="GD14" s="109" t="str">
        <f t="shared" si="124"/>
        <v>Mon</v>
      </c>
      <c r="GE14" s="109" t="str">
        <f t="shared" si="124"/>
        <v>Tue</v>
      </c>
      <c r="GF14" s="109" t="str">
        <f t="shared" si="124"/>
        <v>Wed</v>
      </c>
      <c r="GG14" s="109" t="str">
        <f t="shared" si="124"/>
        <v>Thu</v>
      </c>
      <c r="GH14" s="109" t="str">
        <f t="shared" ref="GH14:GI14" si="125">TEXT(DATEVALUE(TEXT(GH1,"0000-00-00")), "ddd")</f>
        <v>Fri</v>
      </c>
      <c r="GI14" s="109" t="str">
        <f t="shared" si="125"/>
        <v>Mon</v>
      </c>
      <c r="GJ14" s="109" t="str">
        <f t="shared" ref="GJ14:GK14" si="126">TEXT(DATEVALUE(TEXT(GJ1,"0000-00-00")), "ddd")</f>
        <v>Tue</v>
      </c>
      <c r="GK14" s="109" t="str">
        <f t="shared" si="126"/>
        <v>Wed</v>
      </c>
      <c r="GL14" s="109" t="str">
        <f t="shared" ref="GL14:GM14" si="127">TEXT(DATEVALUE(TEXT(GL1,"0000-00-00")), "ddd")</f>
        <v>Thu</v>
      </c>
      <c r="GM14" s="109" t="str">
        <f t="shared" si="127"/>
        <v>Fri</v>
      </c>
      <c r="GN14" s="109" t="str">
        <f t="shared" ref="GN14:GO14" si="128">TEXT(DATEVALUE(TEXT(GN1,"0000-00-00")), "ddd")</f>
        <v>Mon</v>
      </c>
      <c r="GO14" s="109" t="str">
        <f t="shared" si="128"/>
        <v>Tue</v>
      </c>
      <c r="GP14" s="109" t="str">
        <f t="shared" ref="GP14:GQ14" si="129">TEXT(DATEVALUE(TEXT(GP1,"0000-00-00")), "ddd")</f>
        <v>Wed</v>
      </c>
      <c r="GQ14" s="109" t="str">
        <f t="shared" si="129"/>
        <v>Thu</v>
      </c>
      <c r="GR14" s="109" t="str">
        <f t="shared" ref="GR14:GS14" si="130">TEXT(DATEVALUE(TEXT(GR1,"0000-00-00")), "ddd")</f>
        <v>Fri</v>
      </c>
      <c r="GS14" s="109" t="str">
        <f t="shared" si="130"/>
        <v>Mon</v>
      </c>
      <c r="GT14" s="109" t="str">
        <f t="shared" ref="GT14:GU14" si="131">TEXT(DATEVALUE(TEXT(GT1,"0000-00-00")), "ddd")</f>
        <v>Tue</v>
      </c>
      <c r="GU14" s="109" t="str">
        <f t="shared" si="131"/>
        <v>Wed</v>
      </c>
      <c r="GV14" s="109" t="str">
        <f t="shared" ref="GV14:GW14" si="132">TEXT(DATEVALUE(TEXT(GV1,"0000-00-00")), "ddd")</f>
        <v>Fri</v>
      </c>
      <c r="GW14" s="109" t="str">
        <f t="shared" si="132"/>
        <v>Mon</v>
      </c>
      <c r="GX14" s="109" t="str">
        <f t="shared" ref="GX14:GY14" si="133">TEXT(DATEVALUE(TEXT(GX1,"0000-00-00")), "ddd")</f>
        <v>Wed</v>
      </c>
      <c r="GY14" s="109" t="str">
        <f t="shared" si="133"/>
        <v>Thu</v>
      </c>
      <c r="GZ14" s="109" t="str">
        <f t="shared" ref="GZ14:HA14" si="134">TEXT(DATEVALUE(TEXT(GZ1,"0000-00-00")), "ddd")</f>
        <v>Fri</v>
      </c>
      <c r="HA14" s="109" t="str">
        <f t="shared" si="134"/>
        <v>Mon</v>
      </c>
      <c r="HB14" s="109" t="str">
        <f t="shared" ref="HB14:HC14" si="135">TEXT(DATEVALUE(TEXT(HB1,"0000-00-00")), "ddd")</f>
        <v>Tue</v>
      </c>
      <c r="HC14" s="109" t="str">
        <f t="shared" si="135"/>
        <v>Wed</v>
      </c>
      <c r="HD14" s="109" t="str">
        <f t="shared" ref="HD14:HE14" si="136">TEXT(DATEVALUE(TEXT(HD1,"0000-00-00")), "ddd")</f>
        <v>Thu</v>
      </c>
      <c r="HE14" s="109" t="str">
        <f t="shared" si="136"/>
        <v>Fri</v>
      </c>
      <c r="HF14" s="109" t="str">
        <f t="shared" ref="HF14:HG14" si="137">TEXT(DATEVALUE(TEXT(HF1,"0000-00-00")), "ddd")</f>
        <v>Mon</v>
      </c>
      <c r="HG14" s="109" t="str">
        <f t="shared" si="137"/>
        <v>Tue</v>
      </c>
      <c r="HH14" s="109" t="str">
        <f t="shared" ref="HH14:HI14" si="138">TEXT(DATEVALUE(TEXT(HH1,"0000-00-00")), "ddd")</f>
        <v>Wed</v>
      </c>
      <c r="HI14" s="109" t="str">
        <f t="shared" si="138"/>
        <v>Thu</v>
      </c>
      <c r="HJ14" s="109" t="str">
        <f t="shared" ref="HJ14:HK14" si="139">TEXT(DATEVALUE(TEXT(HJ1,"0000-00-00")), "ddd")</f>
        <v>Fri</v>
      </c>
      <c r="HK14" s="109" t="str">
        <f t="shared" si="139"/>
        <v>Sun</v>
      </c>
      <c r="HL14" s="109" t="str">
        <f t="shared" ref="HL14:HM14" si="140">TEXT(DATEVALUE(TEXT(HL1,"0000-00-00")), "ddd")</f>
        <v>Mon</v>
      </c>
      <c r="HM14" s="109" t="str">
        <f t="shared" si="140"/>
        <v>Tue</v>
      </c>
      <c r="HN14" s="109" t="str">
        <f t="shared" ref="HN14:HO14" si="141">TEXT(DATEVALUE(TEXT(HN1,"0000-00-00")), "ddd")</f>
        <v>Wed</v>
      </c>
      <c r="HO14" s="109" t="str">
        <f t="shared" si="141"/>
        <v>Thu</v>
      </c>
      <c r="HP14" s="109" t="str">
        <f t="shared" ref="HP14:HQ14" si="142">TEXT(DATEVALUE(TEXT(HP1,"0000-00-00")), "ddd")</f>
        <v>Fri</v>
      </c>
      <c r="HQ14" s="109" t="str">
        <f t="shared" si="142"/>
        <v>Mon</v>
      </c>
      <c r="HR14" s="109" t="str">
        <f t="shared" ref="HR14:HS14" si="143">TEXT(DATEVALUE(TEXT(HR1,"0000-00-00")), "ddd")</f>
        <v>Tue</v>
      </c>
      <c r="HS14" s="109" t="str">
        <f t="shared" si="143"/>
        <v>Wed</v>
      </c>
      <c r="HT14" s="109" t="str">
        <f t="shared" ref="HT14:HU14" si="144">TEXT(DATEVALUE(TEXT(HT1,"0000-00-00")), "ddd")</f>
        <v>Thu</v>
      </c>
      <c r="HU14" s="109" t="str">
        <f t="shared" si="144"/>
        <v>Fri</v>
      </c>
      <c r="HV14" s="109" t="str">
        <f t="shared" ref="HV14:HW14" si="145">TEXT(DATEVALUE(TEXT(HV1,"0000-00-00")), "ddd")</f>
        <v>Mon</v>
      </c>
      <c r="HW14" s="109" t="str">
        <f t="shared" si="145"/>
        <v>Tue</v>
      </c>
      <c r="HX14" s="109" t="str">
        <f t="shared" ref="HX14:HY14" si="146">TEXT(DATEVALUE(TEXT(HX1,"0000-00-00")), "ddd")</f>
        <v>Wed</v>
      </c>
      <c r="HY14" s="109" t="str">
        <f t="shared" si="146"/>
        <v>Thu</v>
      </c>
      <c r="HZ14" s="109" t="str">
        <f t="shared" ref="HZ14:IA14" si="147">TEXT(DATEVALUE(TEXT(HZ1,"0000-00-00")), "ddd")</f>
        <v>Fri</v>
      </c>
      <c r="IA14" s="109" t="str">
        <f t="shared" si="147"/>
        <v>Sun</v>
      </c>
      <c r="IB14" s="109" t="str">
        <f t="shared" ref="IB14:IC14" si="148">TEXT(DATEVALUE(TEXT(IB1,"0000-00-00")), "ddd")</f>
        <v>Mon</v>
      </c>
      <c r="IC14" s="109" t="str">
        <f t="shared" si="148"/>
        <v>Tue</v>
      </c>
      <c r="ID14" s="109" t="str">
        <f t="shared" ref="ID14:IE14" si="149">TEXT(DATEVALUE(TEXT(ID1,"0000-00-00")), "ddd")</f>
        <v>Wed</v>
      </c>
      <c r="IE14" s="109" t="str">
        <f t="shared" si="149"/>
        <v>Thu</v>
      </c>
      <c r="IF14" s="109" t="str">
        <f t="shared" ref="IF14:IH14" si="150">TEXT(DATEVALUE(TEXT(IF1,"0000-00-00")), "ddd")</f>
        <v>Fri</v>
      </c>
      <c r="IG14" s="109" t="str">
        <f t="shared" si="150"/>
        <v>Sun</v>
      </c>
      <c r="IH14" s="109" t="str">
        <f t="shared" si="150"/>
        <v>Mon</v>
      </c>
      <c r="II14" s="109" t="str">
        <f t="shared" ref="II14:IJ14" si="151">TEXT(DATEVALUE(TEXT(II1,"0000-00-00")), "ddd")</f>
        <v>Tue</v>
      </c>
      <c r="IJ14" s="109" t="str">
        <f t="shared" si="151"/>
        <v>Wed</v>
      </c>
      <c r="IK14" s="109" t="str">
        <f t="shared" ref="IK14:IL14" si="152">TEXT(DATEVALUE(TEXT(IK1,"0000-00-00")), "ddd")</f>
        <v>Fri</v>
      </c>
      <c r="IL14" s="109" t="str">
        <f t="shared" si="152"/>
        <v>Mon</v>
      </c>
      <c r="IM14" s="109" t="str">
        <f t="shared" ref="IM14:IN14" si="153">TEXT(DATEVALUE(TEXT(IM1,"0000-00-00")), "ddd")</f>
        <v>Tue</v>
      </c>
      <c r="IN14" s="109" t="str">
        <f t="shared" si="153"/>
        <v>Wed</v>
      </c>
      <c r="IO14" s="109" t="str">
        <f t="shared" ref="IO14:IP14" si="154">TEXT(DATEVALUE(TEXT(IO1,"0000-00-00")), "ddd")</f>
        <v>Thu</v>
      </c>
      <c r="IP14" s="109" t="str">
        <f t="shared" si="154"/>
        <v>Fri</v>
      </c>
      <c r="IQ14" s="109" t="str">
        <f t="shared" ref="IQ14:IR14" si="155">TEXT(DATEVALUE(TEXT(IQ1,"0000-00-00")), "ddd")</f>
        <v>Mon</v>
      </c>
      <c r="IR14" s="109" t="str">
        <f t="shared" si="155"/>
        <v>Tue</v>
      </c>
      <c r="IS14" s="109" t="str">
        <f t="shared" ref="IS14:IT14" si="156">TEXT(DATEVALUE(TEXT(IS1,"0000-00-00")), "ddd")</f>
        <v>Wed</v>
      </c>
      <c r="IT14" s="109" t="str">
        <f t="shared" si="156"/>
        <v>Thu</v>
      </c>
      <c r="IU14" s="109" t="str">
        <f t="shared" ref="IU14:IV14" si="157">TEXT(DATEVALUE(TEXT(IU1,"0000-00-00")), "ddd")</f>
        <v>Fri</v>
      </c>
      <c r="IV14" s="109" t="str">
        <f t="shared" si="157"/>
        <v>Tue</v>
      </c>
      <c r="IW14" s="109" t="str">
        <f t="shared" ref="IW14:IX14" si="158">TEXT(DATEVALUE(TEXT(IW1,"0000-00-00")), "ddd")</f>
        <v>Wed</v>
      </c>
      <c r="IX14" s="109" t="str">
        <f t="shared" si="158"/>
        <v>Thu</v>
      </c>
      <c r="IY14" s="109" t="str">
        <f t="shared" ref="IY14:IZ14" si="159">TEXT(DATEVALUE(TEXT(IY1,"0000-00-00")), "ddd")</f>
        <v>Mon</v>
      </c>
      <c r="IZ14" s="109" t="str">
        <f t="shared" si="159"/>
        <v>Tue</v>
      </c>
      <c r="JA14" s="109" t="str">
        <f t="shared" ref="JA14:JB14" si="160">TEXT(DATEVALUE(TEXT(JA1,"0000-00-00")), "ddd")</f>
        <v>Wed</v>
      </c>
      <c r="JB14" s="109" t="str">
        <f t="shared" si="160"/>
        <v>Thu</v>
      </c>
      <c r="JC14" s="109" t="str">
        <f t="shared" ref="JC14" si="161">TEXT(DATEVALUE(TEXT(JC1,"0000-00-00")), "ddd")</f>
        <v>Fri</v>
      </c>
      <c r="JD14" s="109" t="str">
        <f t="shared" ref="JD14:JE14" si="162">TEXT(DATEVALUE(TEXT(JD1,"0000-00-00")), "ddd")</f>
        <v>Mon</v>
      </c>
      <c r="JE14" s="109" t="str">
        <f t="shared" si="162"/>
        <v>Tue</v>
      </c>
      <c r="JF14" s="109" t="str">
        <f t="shared" ref="JF14:JG14" si="163">TEXT(DATEVALUE(TEXT(JF1,"0000-00-00")), "ddd")</f>
        <v>Wed</v>
      </c>
      <c r="JG14" s="109" t="str">
        <f t="shared" si="163"/>
        <v>Thu</v>
      </c>
      <c r="JH14" s="109" t="str">
        <f t="shared" ref="JH14:JI14" si="164">TEXT(DATEVALUE(TEXT(JH1,"0000-00-00")), "ddd")</f>
        <v>Fri</v>
      </c>
      <c r="JI14" s="109" t="str">
        <f t="shared" si="164"/>
        <v>Mon</v>
      </c>
      <c r="JJ14" s="109" t="str">
        <f t="shared" ref="JJ14:JK14" si="165">TEXT(DATEVALUE(TEXT(JJ1,"0000-00-00")), "ddd")</f>
        <v>Tue</v>
      </c>
      <c r="JK14" s="109" t="str">
        <f t="shared" si="165"/>
        <v>Wed</v>
      </c>
      <c r="JL14" s="109" t="str">
        <f t="shared" ref="JL14:JM14" si="166">TEXT(DATEVALUE(TEXT(JL1,"0000-00-00")), "ddd")</f>
        <v>Thu</v>
      </c>
      <c r="JM14" s="109" t="str">
        <f t="shared" si="166"/>
        <v>Fri</v>
      </c>
    </row>
    <row r="15" spans="1:273" x14ac:dyDescent="0.35">
      <c r="A15" s="272" t="s">
        <v>107</v>
      </c>
      <c r="B15" s="272"/>
      <c r="S15" s="94">
        <v>162850.47</v>
      </c>
      <c r="BO15" s="93"/>
      <c r="EU15" s="102"/>
    </row>
    <row r="16" spans="1:273" x14ac:dyDescent="0.35">
      <c r="A16" s="272" t="s">
        <v>108</v>
      </c>
      <c r="B16" s="272"/>
      <c r="S16" s="94">
        <v>416359.94</v>
      </c>
      <c r="T16" s="96"/>
      <c r="BO16" s="93"/>
      <c r="DR16" s="67"/>
      <c r="FP16" s="108" t="s">
        <v>12</v>
      </c>
    </row>
    <row r="17" spans="1:271" x14ac:dyDescent="0.35">
      <c r="A17" s="272"/>
      <c r="B17" s="272"/>
      <c r="S17" s="94"/>
    </row>
    <row r="18" spans="1:271" x14ac:dyDescent="0.35">
      <c r="A18" s="272" t="s">
        <v>109</v>
      </c>
      <c r="B18" s="272"/>
      <c r="S18" s="94">
        <f>S15+S16</f>
        <v>579210.41</v>
      </c>
      <c r="DH18" s="47"/>
      <c r="DR18" s="67"/>
    </row>
    <row r="19" spans="1:271" x14ac:dyDescent="0.35">
      <c r="A19" s="272" t="s">
        <v>110</v>
      </c>
      <c r="B19" s="272"/>
      <c r="S19" s="94">
        <f>S18+CURRENT_401K</f>
        <v>2117793.2199999997</v>
      </c>
    </row>
    <row r="20" spans="1:271" x14ac:dyDescent="0.35">
      <c r="FP20" s="108"/>
    </row>
    <row r="21" spans="1:271" x14ac:dyDescent="0.35">
      <c r="IU21" s="7"/>
    </row>
    <row r="22" spans="1:271" ht="16" customHeight="1" x14ac:dyDescent="0.35">
      <c r="EM22" s="99"/>
      <c r="JI22" t="s">
        <v>421</v>
      </c>
      <c r="JK22" s="68">
        <f>JK6/prev_april_3-1</f>
        <v>0.23891795511964631</v>
      </c>
    </row>
    <row r="27" spans="1:271" x14ac:dyDescent="0.35">
      <c r="IO27">
        <v>30000</v>
      </c>
    </row>
    <row r="28" spans="1:271" x14ac:dyDescent="0.35">
      <c r="IO28">
        <v>5</v>
      </c>
    </row>
    <row r="29" spans="1:271" ht="13.5" customHeight="1" x14ac:dyDescent="0.35"/>
    <row r="30" spans="1:271" x14ac:dyDescent="0.35">
      <c r="DW30" s="92"/>
      <c r="IO30">
        <f>IO27/IO28</f>
        <v>6000</v>
      </c>
    </row>
    <row r="31" spans="1:271" x14ac:dyDescent="0.35">
      <c r="DW31" s="92"/>
    </row>
    <row r="34" spans="98:124" x14ac:dyDescent="0.35">
      <c r="DT34" t="s">
        <v>12</v>
      </c>
    </row>
    <row r="36" spans="98:124" x14ac:dyDescent="0.35">
      <c r="DL36" s="51"/>
    </row>
    <row r="43" spans="98:124" x14ac:dyDescent="0.35">
      <c r="DS43" s="70"/>
    </row>
    <row r="47" spans="98:124" x14ac:dyDescent="0.35">
      <c r="CT47" s="45"/>
    </row>
    <row r="48" spans="98:124" x14ac:dyDescent="0.35">
      <c r="CT48" s="45"/>
    </row>
  </sheetData>
  <mergeCells count="7">
    <mergeCell ref="A17:B17"/>
    <mergeCell ref="A18:B18"/>
    <mergeCell ref="A19:B19"/>
    <mergeCell ref="A12:B12"/>
    <mergeCell ref="A13:B13"/>
    <mergeCell ref="A15:B15"/>
    <mergeCell ref="A16:B1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4D58B-07D3-451A-8D14-A0DDF014815D}">
  <sheetPr codeName="Sheet8"/>
  <dimension ref="A1:AY90"/>
  <sheetViews>
    <sheetView tabSelected="1" zoomScale="85" zoomScaleNormal="85" workbookViewId="0">
      <pane xSplit="2" ySplit="3" topLeftCell="C4" activePane="bottomRight" state="frozen"/>
      <selection activeCell="AG12" sqref="AG12"/>
      <selection pane="topRight" activeCell="AG12" sqref="AG12"/>
      <selection pane="bottomLeft" activeCell="AG12" sqref="AG12"/>
      <selection pane="bottomRight" activeCell="Z4" sqref="Z4"/>
    </sheetView>
  </sheetViews>
  <sheetFormatPr defaultRowHeight="14.5" x14ac:dyDescent="0.35"/>
  <cols>
    <col min="3" max="3" width="14.7265625" bestFit="1" customWidth="1"/>
    <col min="4" max="5" width="12.1796875" customWidth="1"/>
    <col min="6" max="6" width="12.6328125" bestFit="1" customWidth="1"/>
    <col min="7" max="7" width="15.36328125" bestFit="1" customWidth="1"/>
    <col min="8" max="8" width="14" bestFit="1" customWidth="1"/>
    <col min="9" max="9" width="14.1796875" customWidth="1"/>
    <col min="10" max="10" width="14" hidden="1" customWidth="1"/>
    <col min="11" max="11" width="12.08984375" bestFit="1" customWidth="1"/>
    <col min="12" max="12" width="15" hidden="1" customWidth="1"/>
    <col min="13" max="13" width="2.90625" customWidth="1"/>
    <col min="14" max="14" width="11.1796875" bestFit="1" customWidth="1"/>
    <col min="15" max="15" width="10.36328125" customWidth="1"/>
    <col min="16" max="16" width="2.453125" hidden="1" customWidth="1"/>
    <col min="17" max="17" width="27.36328125" hidden="1" customWidth="1"/>
    <col min="18" max="18" width="9.453125" hidden="1" customWidth="1"/>
    <col min="19" max="23" width="8.7265625" hidden="1" customWidth="1"/>
    <col min="24" max="24" width="28.26953125" hidden="1" customWidth="1"/>
    <col min="25" max="25" width="15" customWidth="1"/>
    <col min="26" max="26" width="14.6328125" style="7" customWidth="1"/>
    <col min="27" max="27" width="11" hidden="1" customWidth="1"/>
    <col min="28" max="29" width="15" hidden="1" customWidth="1"/>
    <col min="30" max="30" width="8.7265625" hidden="1" customWidth="1"/>
    <col min="31" max="31" width="3.453125" customWidth="1"/>
    <col min="32" max="32" width="53.26953125" customWidth="1"/>
    <col min="33" max="33" width="19.1796875" customWidth="1"/>
    <col min="34" max="34" width="10.453125" customWidth="1"/>
    <col min="35" max="35" width="10.90625" customWidth="1"/>
    <col min="36" max="36" width="11.36328125" hidden="1" customWidth="1"/>
    <col min="37" max="37" width="15.36328125" customWidth="1"/>
    <col min="38" max="38" width="9.08984375" customWidth="1"/>
    <col min="39" max="39" width="2.7265625" customWidth="1"/>
    <col min="40" max="40" width="11.7265625" customWidth="1"/>
    <col min="43" max="43" width="11.453125" customWidth="1"/>
  </cols>
  <sheetData>
    <row r="1" spans="1:51" ht="60.5" customHeight="1" x14ac:dyDescent="0.35">
      <c r="A1" s="4" t="s">
        <v>49</v>
      </c>
      <c r="B1" s="4" t="s">
        <v>127</v>
      </c>
      <c r="C1" s="10" t="s">
        <v>50</v>
      </c>
      <c r="D1" s="10" t="s">
        <v>72</v>
      </c>
      <c r="E1" s="65" t="s">
        <v>71</v>
      </c>
      <c r="F1" s="10" t="s">
        <v>73</v>
      </c>
      <c r="G1" s="65" t="s">
        <v>74</v>
      </c>
      <c r="H1" s="10" t="s">
        <v>51</v>
      </c>
      <c r="I1" s="10" t="s">
        <v>219</v>
      </c>
      <c r="J1" s="65" t="s">
        <v>53</v>
      </c>
      <c r="K1" s="65" t="s">
        <v>342</v>
      </c>
      <c r="L1" s="65"/>
      <c r="M1" s="65"/>
      <c r="N1" s="4" t="s">
        <v>54</v>
      </c>
      <c r="O1" s="4" t="s">
        <v>55</v>
      </c>
      <c r="P1" s="4"/>
      <c r="Q1" s="4" t="s">
        <v>81</v>
      </c>
      <c r="R1" s="4"/>
      <c r="S1" s="4"/>
      <c r="T1" s="4"/>
      <c r="U1" s="4"/>
      <c r="V1" s="4"/>
      <c r="X1" s="4" t="s">
        <v>80</v>
      </c>
      <c r="Y1" s="4"/>
      <c r="Z1" s="10" t="s">
        <v>343</v>
      </c>
      <c r="AA1" s="4"/>
      <c r="AB1" s="4"/>
      <c r="AC1" s="4"/>
      <c r="AD1" s="4"/>
      <c r="AE1" s="4"/>
      <c r="AF1" s="4"/>
      <c r="AG1" s="4"/>
      <c r="AI1" s="4" t="s">
        <v>191</v>
      </c>
      <c r="AJ1" s="4" t="s">
        <v>88</v>
      </c>
      <c r="AK1" s="10" t="s">
        <v>220</v>
      </c>
      <c r="AL1" s="4" t="s">
        <v>86</v>
      </c>
      <c r="AN1" s="4" t="s">
        <v>192</v>
      </c>
    </row>
    <row r="2" spans="1:51" ht="15" thickBot="1" x14ac:dyDescent="0.4">
      <c r="A2" s="4"/>
      <c r="B2" s="4"/>
      <c r="C2" s="10"/>
      <c r="D2" s="10"/>
      <c r="E2" s="65"/>
      <c r="F2" s="65"/>
      <c r="G2" s="65"/>
      <c r="H2" s="10"/>
      <c r="I2" s="10"/>
      <c r="J2" s="65"/>
      <c r="K2" s="65"/>
      <c r="L2" s="65"/>
      <c r="M2" s="65"/>
      <c r="N2" s="4"/>
      <c r="O2" s="4"/>
      <c r="P2" s="4"/>
      <c r="Q2" s="4"/>
      <c r="R2" s="4"/>
      <c r="S2" s="4"/>
      <c r="T2" s="4"/>
      <c r="U2" s="4"/>
      <c r="V2" s="4"/>
      <c r="X2" s="4"/>
      <c r="Y2" s="4"/>
      <c r="Z2" s="10"/>
      <c r="AA2" s="4"/>
      <c r="AB2" s="4"/>
      <c r="AC2" s="4"/>
      <c r="AD2" s="4"/>
      <c r="AE2" s="4"/>
      <c r="AF2" s="4"/>
      <c r="AG2" s="4"/>
      <c r="AL2" s="4"/>
    </row>
    <row r="3" spans="1:51" ht="15" thickBot="1" x14ac:dyDescent="0.4">
      <c r="A3">
        <v>2026</v>
      </c>
      <c r="B3">
        <v>65</v>
      </c>
      <c r="C3" s="85">
        <f>CURRENT_401K</f>
        <v>1538582.8099999998</v>
      </c>
      <c r="D3" s="7">
        <f>C3*AG$3</f>
        <v>63466.540912499993</v>
      </c>
      <c r="E3" s="68">
        <f t="shared" ref="E3:E40" si="0">D3/C3</f>
        <v>4.1250000000000002E-2</v>
      </c>
      <c r="F3" s="74">
        <f t="shared" ref="F3:F40" si="1">IF($E3&gt;upper_guardrail,$D3*(1-withdrawal_adjust_pct),IF(E3&lt;lower_guardrail,D3*(1+withdrawal_adjust_pct),D3))</f>
        <v>63466.540912499993</v>
      </c>
      <c r="G3" s="68">
        <f t="shared" ref="G3:G40" si="2">F3/C3</f>
        <v>4.1250000000000002E-2</v>
      </c>
      <c r="H3" s="7">
        <f t="shared" ref="H3:H40" ca="1" si="3">C3*$O3</f>
        <v>155588.8240963564</v>
      </c>
      <c r="I3" s="81">
        <f ca="1">C3-F3+H3</f>
        <v>1630705.0931838565</v>
      </c>
      <c r="J3" s="68">
        <f t="shared" ref="J3:J40" si="4">D3/C3</f>
        <v>4.1250000000000002E-2</v>
      </c>
      <c r="K3" s="76" t="str">
        <f t="shared" ref="K3:K40" si="5">IF($E3&lt;AG$7,0,IF($E3&gt;AG$8,1,""))</f>
        <v/>
      </c>
      <c r="L3" s="75"/>
      <c r="M3" s="78"/>
      <c r="N3" s="67">
        <f t="shared" ref="N3:N40" ca="1" si="6">_xlfn.NORM.INV(RAND(),AG$15,AG$16)</f>
        <v>2.2160008652616001E-2</v>
      </c>
      <c r="O3" s="67">
        <f t="shared" ref="O3:O40" ca="1" si="7">_xlfn.NORM.INV(RAND(),AG$18,AG$19)</f>
        <v>0.10112476435139453</v>
      </c>
      <c r="P3" s="79"/>
      <c r="Q3" s="7">
        <f>$C3</f>
        <v>1538582.8099999998</v>
      </c>
      <c r="X3" s="7">
        <f>C3-Q3</f>
        <v>0</v>
      </c>
      <c r="Y3" s="104"/>
      <c r="Z3" s="7">
        <f>D3</f>
        <v>63466.540912499993</v>
      </c>
      <c r="AE3" s="104"/>
      <c r="AF3" t="s">
        <v>56</v>
      </c>
      <c r="AG3" s="84">
        <v>4.1250000000000002E-2</v>
      </c>
      <c r="AI3" s="115">
        <f ca="1">1+N3</f>
        <v>1.0221600086526159</v>
      </c>
      <c r="AJ3" s="7">
        <f ca="1">portfolio_min*(1+$N3)</f>
        <v>255540.00216315399</v>
      </c>
      <c r="AK3" s="7">
        <f ca="1">I3*(1-N3)</f>
        <v>1594568.6542090371</v>
      </c>
      <c r="AL3">
        <f t="shared" ref="AL3:AL40" ca="1" si="8">IF(AN3&lt;$AG$39,1,0)</f>
        <v>0</v>
      </c>
      <c r="AM3" s="104"/>
      <c r="AN3" s="7">
        <f t="shared" ref="AN3:AN39" ca="1" si="9">AK3/AI3</f>
        <v>1559999.0615079482</v>
      </c>
    </row>
    <row r="4" spans="1:51" x14ac:dyDescent="0.35">
      <c r="A4">
        <f>A3+1</f>
        <v>2027</v>
      </c>
      <c r="B4">
        <f>B3+1</f>
        <v>66</v>
      </c>
      <c r="C4" s="7">
        <f t="shared" ref="C4:C40" ca="1" si="10">I3</f>
        <v>1630705.0931838565</v>
      </c>
      <c r="D4" s="7">
        <f ca="1">IF(O3&gt;=0,F3*(1+N3),F3)</f>
        <v>64872.960008272596</v>
      </c>
      <c r="E4" s="68">
        <f t="shared" ca="1" si="0"/>
        <v>3.9782153302539779E-2</v>
      </c>
      <c r="F4" s="74">
        <f t="shared" ca="1" si="1"/>
        <v>64872.960008272596</v>
      </c>
      <c r="G4" s="68">
        <f t="shared" ca="1" si="2"/>
        <v>3.9782153302539779E-2</v>
      </c>
      <c r="H4" s="7">
        <f t="shared" ca="1" si="3"/>
        <v>-46317.029992503885</v>
      </c>
      <c r="I4" s="81">
        <f t="shared" ref="I4:I40" ca="1" si="11">C4-F4+H4</f>
        <v>1519515.10318308</v>
      </c>
      <c r="J4" s="68">
        <f t="shared" ca="1" si="4"/>
        <v>3.9782153302539779E-2</v>
      </c>
      <c r="K4" s="76" t="str">
        <f t="shared" ca="1" si="5"/>
        <v/>
      </c>
      <c r="L4" s="75"/>
      <c r="M4" s="78"/>
      <c r="N4" s="67">
        <f t="shared" ca="1" si="6"/>
        <v>1.5641303617347627E-2</v>
      </c>
      <c r="O4" s="67">
        <f t="shared" ca="1" si="7"/>
        <v>-2.8403069436713779E-2</v>
      </c>
      <c r="P4" s="79"/>
      <c r="Q4" s="7">
        <f t="shared" ref="Q4:Q40" ca="1" si="12">Q3*(1+$N3)</f>
        <v>1572677.8183823659</v>
      </c>
      <c r="X4" s="7">
        <f t="shared" ref="X4:X40" ca="1" si="13">I4-Q4</f>
        <v>-53162.715199285885</v>
      </c>
      <c r="Y4" s="104"/>
      <c r="Z4" s="7">
        <f ca="1">F4/AI4</f>
        <v>62489.129465742561</v>
      </c>
      <c r="AE4" s="104"/>
      <c r="AI4" s="115">
        <f ca="1">AI3*(1+N4)</f>
        <v>1.0381479236934623</v>
      </c>
      <c r="AJ4" s="7">
        <f t="shared" ref="AJ4:AJ40" ca="1" si="14">AJ3*(1+$N4)</f>
        <v>259536.98092336557</v>
      </c>
      <c r="AK4" s="7">
        <f t="shared" ref="AK4:AK40" ca="1" si="15">I4*(1-N4)</f>
        <v>1495747.9061030482</v>
      </c>
      <c r="AL4">
        <f t="shared" ca="1" si="8"/>
        <v>0</v>
      </c>
      <c r="AM4" s="104"/>
      <c r="AN4" s="7">
        <f t="shared" ca="1" si="9"/>
        <v>1440784.9517066539</v>
      </c>
      <c r="AQ4" t="s">
        <v>202</v>
      </c>
    </row>
    <row r="5" spans="1:51" x14ac:dyDescent="0.35">
      <c r="A5">
        <f>A4+1</f>
        <v>2028</v>
      </c>
      <c r="B5">
        <f t="shared" ref="B5:B40" si="16">B4+1</f>
        <v>67</v>
      </c>
      <c r="C5" s="7">
        <f t="shared" ca="1" si="10"/>
        <v>1519515.10318308</v>
      </c>
      <c r="D5" s="7">
        <f t="shared" ref="D5:D40" ca="1" si="17">IF(O4&gt;=0,F4*(1+N4),F4)</f>
        <v>64872.960008272596</v>
      </c>
      <c r="E5" s="68">
        <f t="shared" ca="1" si="0"/>
        <v>4.2693198555497559E-2</v>
      </c>
      <c r="F5" s="74">
        <f t="shared" ca="1" si="1"/>
        <v>64872.960008272596</v>
      </c>
      <c r="G5" s="68">
        <f t="shared" ca="1" si="2"/>
        <v>4.2693198555497559E-2</v>
      </c>
      <c r="H5" s="7">
        <f t="shared" ca="1" si="3"/>
        <v>9900.8101483498176</v>
      </c>
      <c r="I5" s="81">
        <f t="shared" ca="1" si="11"/>
        <v>1464542.953323157</v>
      </c>
      <c r="J5" s="68">
        <f t="shared" ca="1" si="4"/>
        <v>4.2693198555497559E-2</v>
      </c>
      <c r="K5" s="76" t="str">
        <f t="shared" ca="1" si="5"/>
        <v/>
      </c>
      <c r="L5" s="75"/>
      <c r="M5" s="78"/>
      <c r="N5" s="67">
        <f t="shared" ca="1" si="6"/>
        <v>1.3313391976790614E-2</v>
      </c>
      <c r="O5" s="67">
        <f t="shared" ca="1" si="7"/>
        <v>6.5157694896283702E-3</v>
      </c>
      <c r="P5" s="79"/>
      <c r="Q5" s="7">
        <f t="shared" ca="1" si="12"/>
        <v>1597276.5496319525</v>
      </c>
      <c r="X5" s="7">
        <f t="shared" ca="1" si="13"/>
        <v>-132733.5963087955</v>
      </c>
      <c r="Y5" s="104"/>
      <c r="Z5" s="7">
        <f t="shared" ref="Z5:Z40" ca="1" si="18">F5/AI5</f>
        <v>61668.117643089266</v>
      </c>
      <c r="AE5" s="104"/>
      <c r="AF5" t="s">
        <v>439</v>
      </c>
      <c r="AG5" s="259">
        <v>0.2</v>
      </c>
      <c r="AI5" s="115">
        <f t="shared" ref="AI5:AI40" ca="1" si="19">AI4*(1+N5)</f>
        <v>1.0519691939314848</v>
      </c>
      <c r="AJ5" s="7">
        <f t="shared" ca="1" si="14"/>
        <v>262992.29848287121</v>
      </c>
      <c r="AK5" s="7">
        <f t="shared" ca="1" si="15"/>
        <v>1445044.9189187193</v>
      </c>
      <c r="AL5">
        <f t="shared" ca="1" si="8"/>
        <v>0</v>
      </c>
      <c r="AM5" s="104"/>
      <c r="AN5" s="7">
        <f t="shared" ca="1" si="9"/>
        <v>1373657.0683388622</v>
      </c>
      <c r="AQ5" s="261" t="s">
        <v>201</v>
      </c>
      <c r="AR5" s="261"/>
      <c r="AS5" s="261"/>
      <c r="AT5" s="261"/>
      <c r="AU5" s="261"/>
      <c r="AV5" s="261"/>
      <c r="AW5" s="261"/>
      <c r="AX5" s="261"/>
      <c r="AY5" s="261"/>
    </row>
    <row r="6" spans="1:51" x14ac:dyDescent="0.35">
      <c r="A6">
        <f t="shared" ref="A6:A40" si="20">A5+1</f>
        <v>2029</v>
      </c>
      <c r="B6">
        <f t="shared" si="16"/>
        <v>68</v>
      </c>
      <c r="C6" s="7">
        <f t="shared" ca="1" si="10"/>
        <v>1464542.953323157</v>
      </c>
      <c r="D6" s="7">
        <f t="shared" ca="1" si="17"/>
        <v>65736.639153557393</v>
      </c>
      <c r="E6" s="68">
        <f t="shared" ca="1" si="0"/>
        <v>4.4885429276345951E-2</v>
      </c>
      <c r="F6" s="74">
        <f t="shared" ca="1" si="1"/>
        <v>65736.639153557393</v>
      </c>
      <c r="G6" s="68">
        <f t="shared" ca="1" si="2"/>
        <v>4.4885429276345951E-2</v>
      </c>
      <c r="H6" s="7">
        <f t="shared" ca="1" si="3"/>
        <v>165151.70658914794</v>
      </c>
      <c r="I6" s="81">
        <f t="shared" ca="1" si="11"/>
        <v>1563958.0207587476</v>
      </c>
      <c r="J6" s="68">
        <f t="shared" ca="1" si="4"/>
        <v>4.4885429276345951E-2</v>
      </c>
      <c r="K6" s="76" t="str">
        <f t="shared" ca="1" si="5"/>
        <v/>
      </c>
      <c r="L6" s="75"/>
      <c r="M6" s="78"/>
      <c r="N6" s="67">
        <f t="shared" ca="1" si="6"/>
        <v>7.8790857643194073E-4</v>
      </c>
      <c r="O6" s="67">
        <f t="shared" ca="1" si="7"/>
        <v>0.11276672098582458</v>
      </c>
      <c r="P6" s="79"/>
      <c r="Q6" s="7">
        <f t="shared" ca="1" si="12"/>
        <v>1618541.7184325384</v>
      </c>
      <c r="X6" s="7">
        <f t="shared" ca="1" si="13"/>
        <v>-54583.697673790855</v>
      </c>
      <c r="Y6" s="104"/>
      <c r="Z6" s="7">
        <f t="shared" ca="1" si="18"/>
        <v>62439.932507408135</v>
      </c>
      <c r="AE6" s="104"/>
      <c r="AF6" t="s">
        <v>402</v>
      </c>
      <c r="AG6" s="259">
        <v>0.1</v>
      </c>
      <c r="AI6" s="115">
        <f t="shared" ca="1" si="19"/>
        <v>1.0527980494815257</v>
      </c>
      <c r="AJ6" s="7">
        <f t="shared" ca="1" si="14"/>
        <v>263199.51237038139</v>
      </c>
      <c r="AK6" s="7">
        <f t="shared" ca="1" si="15"/>
        <v>1562725.7648210123</v>
      </c>
      <c r="AL6">
        <f t="shared" ca="1" si="8"/>
        <v>0</v>
      </c>
      <c r="AM6" s="104"/>
      <c r="AN6" s="7">
        <f t="shared" ca="1" si="9"/>
        <v>1484354.730321368</v>
      </c>
      <c r="AQ6" s="261"/>
      <c r="AR6" s="261"/>
      <c r="AS6" s="261"/>
      <c r="AT6" s="261"/>
      <c r="AU6" s="261"/>
      <c r="AV6" s="261"/>
      <c r="AW6" s="261"/>
      <c r="AX6" s="261"/>
      <c r="AY6" s="261"/>
    </row>
    <row r="7" spans="1:51" x14ac:dyDescent="0.35">
      <c r="A7">
        <f t="shared" si="20"/>
        <v>2030</v>
      </c>
      <c r="B7">
        <f t="shared" si="16"/>
        <v>69</v>
      </c>
      <c r="C7" s="7">
        <f t="shared" ca="1" si="10"/>
        <v>1563958.0207587476</v>
      </c>
      <c r="D7" s="7">
        <f ca="1">IF(O6&gt;=0,F6*(1+N6),F6)</f>
        <v>65788.433615332295</v>
      </c>
      <c r="E7" s="68">
        <f t="shared" ca="1" si="0"/>
        <v>4.2065344940278714E-2</v>
      </c>
      <c r="F7" s="74">
        <f t="shared" ca="1" si="1"/>
        <v>65788.433615332295</v>
      </c>
      <c r="G7" s="68">
        <f t="shared" ca="1" si="2"/>
        <v>4.2065344940278714E-2</v>
      </c>
      <c r="H7" s="7">
        <f t="shared" ca="1" si="3"/>
        <v>302443.13694328582</v>
      </c>
      <c r="I7" s="81">
        <f t="shared" ca="1" si="11"/>
        <v>1800612.7240867012</v>
      </c>
      <c r="J7" s="68">
        <f t="shared" ca="1" si="4"/>
        <v>4.2065344940278714E-2</v>
      </c>
      <c r="K7" s="76" t="str">
        <f t="shared" ca="1" si="5"/>
        <v/>
      </c>
      <c r="L7" s="75"/>
      <c r="M7" s="78"/>
      <c r="N7" s="67">
        <f t="shared" ca="1" si="6"/>
        <v>4.4531056583594651E-2</v>
      </c>
      <c r="O7" s="67">
        <f t="shared" ca="1" si="7"/>
        <v>0.19338315538453954</v>
      </c>
      <c r="P7" s="79"/>
      <c r="Q7" s="7">
        <f t="shared" ca="1" si="12"/>
        <v>1619816.9813338043</v>
      </c>
      <c r="X7" s="7">
        <f t="shared" ca="1" si="13"/>
        <v>180795.74275289685</v>
      </c>
      <c r="Y7" s="104"/>
      <c r="Z7" s="7">
        <f t="shared" ca="1" si="18"/>
        <v>59825.056490066658</v>
      </c>
      <c r="AE7" s="104"/>
      <c r="AF7" t="s">
        <v>400</v>
      </c>
      <c r="AG7">
        <f>AG3*(1-guardrail_movement_pct)</f>
        <v>3.3000000000000002E-2</v>
      </c>
      <c r="AH7">
        <v>4.7E-2</v>
      </c>
      <c r="AI7" s="115">
        <f t="shared" ca="1" si="19"/>
        <v>1.0996802589940855</v>
      </c>
      <c r="AJ7" s="7">
        <f ca="1">AJ6*(1+$N7)</f>
        <v>274920.06474852137</v>
      </c>
      <c r="AK7" s="7">
        <f ca="1">I7*(1-N7)</f>
        <v>1720429.5369852558</v>
      </c>
      <c r="AL7">
        <f t="shared" ca="1" si="8"/>
        <v>0</v>
      </c>
      <c r="AM7" s="104"/>
      <c r="AN7" s="7">
        <f t="shared" ca="1" si="9"/>
        <v>1564481.605370447</v>
      </c>
      <c r="AQ7" s="261"/>
      <c r="AR7" s="261"/>
      <c r="AS7" s="261"/>
      <c r="AT7" s="261"/>
      <c r="AU7" s="261"/>
      <c r="AV7" s="261"/>
      <c r="AW7" s="261"/>
      <c r="AX7" s="261"/>
      <c r="AY7" s="261"/>
    </row>
    <row r="8" spans="1:51" x14ac:dyDescent="0.35">
      <c r="A8">
        <f t="shared" si="20"/>
        <v>2031</v>
      </c>
      <c r="B8">
        <f t="shared" si="16"/>
        <v>70</v>
      </c>
      <c r="C8" s="7">
        <f t="shared" ca="1" si="10"/>
        <v>1800612.7240867012</v>
      </c>
      <c r="D8" s="7">
        <f t="shared" ca="1" si="17"/>
        <v>68718.062075202717</v>
      </c>
      <c r="E8" s="68">
        <f t="shared" ca="1" si="0"/>
        <v>3.8163710139312489E-2</v>
      </c>
      <c r="F8" s="74">
        <f t="shared" ca="1" si="1"/>
        <v>68718.062075202717</v>
      </c>
      <c r="G8" s="68">
        <f t="shared" ca="1" si="2"/>
        <v>3.8163710139312489E-2</v>
      </c>
      <c r="H8" s="7">
        <f t="shared" ca="1" si="3"/>
        <v>84995.125947849418</v>
      </c>
      <c r="I8" s="81">
        <f t="shared" ca="1" si="11"/>
        <v>1816889.7879593477</v>
      </c>
      <c r="J8" s="68">
        <f t="shared" ca="1" si="4"/>
        <v>3.8163710139312489E-2</v>
      </c>
      <c r="K8" s="76" t="str">
        <f t="shared" ca="1" si="5"/>
        <v/>
      </c>
      <c r="L8" s="75"/>
      <c r="M8" s="78"/>
      <c r="N8" s="67">
        <f t="shared" ca="1" si="6"/>
        <v>-7.4042875282688894E-3</v>
      </c>
      <c r="O8" s="67">
        <f t="shared" ca="1" si="7"/>
        <v>4.7203446255196423E-2</v>
      </c>
      <c r="P8" s="79"/>
      <c r="Q8" s="7">
        <f t="shared" ca="1" si="12"/>
        <v>1691949.1429846473</v>
      </c>
      <c r="X8" s="7">
        <f t="shared" ca="1" si="13"/>
        <v>124940.64497470041</v>
      </c>
      <c r="Y8" s="104"/>
      <c r="Z8" s="7">
        <f t="shared" ca="1" si="18"/>
        <v>62955.268374204497</v>
      </c>
      <c r="AE8" s="104"/>
      <c r="AF8" t="s">
        <v>401</v>
      </c>
      <c r="AG8">
        <f>AG3*(1+guardrail_movement_pct)</f>
        <v>4.9500000000000002E-2</v>
      </c>
      <c r="AI8" s="115">
        <f t="shared" ca="1" si="19"/>
        <v>1.0915379101673321</v>
      </c>
      <c r="AJ8" s="7">
        <f t="shared" ca="1" si="14"/>
        <v>272884.47754183301</v>
      </c>
      <c r="AK8" s="7">
        <f t="shared" ca="1" si="15"/>
        <v>1830342.5623565742</v>
      </c>
      <c r="AL8">
        <f t="shared" ca="1" si="8"/>
        <v>0</v>
      </c>
      <c r="AM8" s="104"/>
      <c r="AN8" s="7">
        <f t="shared" ca="1" si="9"/>
        <v>1676847.4510207197</v>
      </c>
      <c r="AQ8" s="261"/>
      <c r="AR8" s="261"/>
      <c r="AS8" s="261"/>
      <c r="AT8" s="261"/>
      <c r="AU8" s="261"/>
      <c r="AV8" s="261"/>
      <c r="AW8" s="261"/>
      <c r="AX8" s="261"/>
      <c r="AY8" s="261"/>
    </row>
    <row r="9" spans="1:51" x14ac:dyDescent="0.35">
      <c r="A9">
        <f t="shared" si="20"/>
        <v>2032</v>
      </c>
      <c r="B9">
        <f t="shared" si="16"/>
        <v>71</v>
      </c>
      <c r="C9" s="7">
        <f t="shared" ca="1" si="10"/>
        <v>1816889.7879593477</v>
      </c>
      <c r="D9" s="7">
        <f t="shared" ca="1" si="17"/>
        <v>68209.253785212481</v>
      </c>
      <c r="E9" s="68">
        <v>5.8279353960394999E-2</v>
      </c>
      <c r="F9" s="74">
        <f t="shared" ca="1" si="1"/>
        <v>61388.328406691231</v>
      </c>
      <c r="G9" s="68">
        <f t="shared" ca="1" si="2"/>
        <v>3.3787590647223545E-2</v>
      </c>
      <c r="H9" s="7">
        <f t="shared" ca="1" si="3"/>
        <v>-19961.138119988103</v>
      </c>
      <c r="I9" s="81">
        <f t="shared" ca="1" si="11"/>
        <v>1735540.3214326683</v>
      </c>
      <c r="J9" s="68">
        <f t="shared" ca="1" si="4"/>
        <v>3.7541767385803941E-2</v>
      </c>
      <c r="K9" s="76">
        <f t="shared" si="5"/>
        <v>1</v>
      </c>
      <c r="L9" s="75"/>
      <c r="M9" s="78"/>
      <c r="N9" s="67">
        <f t="shared" ca="1" si="6"/>
        <v>5.5319103382467594E-2</v>
      </c>
      <c r="O9" s="67">
        <f t="shared" ca="1" si="7"/>
        <v>-1.098643310798042E-2</v>
      </c>
      <c r="P9" s="79"/>
      <c r="Q9" s="7">
        <f t="shared" ca="1" si="12"/>
        <v>1679421.4650467806</v>
      </c>
      <c r="X9" s="7">
        <f t="shared" ca="1" si="13"/>
        <v>56118.8563858876</v>
      </c>
      <c r="Y9" s="104"/>
      <c r="Z9" s="7">
        <f t="shared" ca="1" si="18"/>
        <v>53292.142953642498</v>
      </c>
      <c r="AE9" s="104"/>
      <c r="AI9" s="115">
        <f ca="1">AI8*(1+N9)</f>
        <v>1.1519208086657615</v>
      </c>
      <c r="AJ9" s="7">
        <f t="shared" ca="1" si="14"/>
        <v>287980.20216644031</v>
      </c>
      <c r="AK9" s="7">
        <f t="shared" ca="1" si="15"/>
        <v>1639531.7869668934</v>
      </c>
      <c r="AL9">
        <f t="shared" ca="1" si="8"/>
        <v>0</v>
      </c>
      <c r="AM9" s="104"/>
      <c r="AN9" s="7">
        <f t="shared" ca="1" si="9"/>
        <v>1423302.5175280219</v>
      </c>
    </row>
    <row r="10" spans="1:51" x14ac:dyDescent="0.35">
      <c r="A10">
        <f t="shared" si="20"/>
        <v>2033</v>
      </c>
      <c r="B10">
        <f t="shared" si="16"/>
        <v>72</v>
      </c>
      <c r="C10" s="7">
        <f t="shared" ca="1" si="10"/>
        <v>1735540.3214326683</v>
      </c>
      <c r="D10" s="7">
        <f ca="1">IF(O9&gt;=0,F9*(1+N9),F9)</f>
        <v>61388.328406691231</v>
      </c>
      <c r="E10" s="68">
        <f t="shared" ca="1" si="0"/>
        <v>3.5371306358365606E-2</v>
      </c>
      <c r="F10" s="74">
        <f t="shared" ca="1" si="1"/>
        <v>61388.328406691231</v>
      </c>
      <c r="G10" s="68">
        <f t="shared" ca="1" si="2"/>
        <v>3.5371306358365606E-2</v>
      </c>
      <c r="H10" s="7">
        <f t="shared" ca="1" si="3"/>
        <v>-329123.00445836945</v>
      </c>
      <c r="I10" s="81">
        <f t="shared" ca="1" si="11"/>
        <v>1345028.9885676075</v>
      </c>
      <c r="J10" s="68">
        <f t="shared" ca="1" si="4"/>
        <v>3.5371306358365606E-2</v>
      </c>
      <c r="K10" s="76" t="str">
        <f t="shared" ca="1" si="5"/>
        <v/>
      </c>
      <c r="L10" s="75"/>
      <c r="M10" s="78"/>
      <c r="N10" s="67">
        <f t="shared" ca="1" si="6"/>
        <v>1.3653833398524218E-3</v>
      </c>
      <c r="O10" s="67">
        <f t="shared" ca="1" si="7"/>
        <v>-0.18963719851042254</v>
      </c>
      <c r="P10" s="79"/>
      <c r="Q10" s="7">
        <f t="shared" ca="1" si="12"/>
        <v>1772325.5546944386</v>
      </c>
      <c r="X10" s="7">
        <f t="shared" ca="1" si="13"/>
        <v>-427296.56612683111</v>
      </c>
      <c r="Y10" s="104"/>
      <c r="Z10" s="7">
        <f t="shared" ca="1" si="18"/>
        <v>53219.47796507334</v>
      </c>
      <c r="AE10" s="104"/>
      <c r="AF10" t="s">
        <v>84</v>
      </c>
      <c r="AI10" s="115">
        <f t="shared" ca="1" si="19"/>
        <v>1.1534936221467431</v>
      </c>
      <c r="AJ10" s="7">
        <f t="shared" ca="1" si="14"/>
        <v>288373.40553668566</v>
      </c>
      <c r="AK10" s="7">
        <f t="shared" ca="1" si="15"/>
        <v>1343192.5083949987</v>
      </c>
      <c r="AL10">
        <f t="shared" ca="1" si="8"/>
        <v>0</v>
      </c>
      <c r="AM10" s="104"/>
      <c r="AN10" s="7">
        <f t="shared" ca="1" si="9"/>
        <v>1164455.9472251013</v>
      </c>
      <c r="AQ10" s="261" t="s">
        <v>203</v>
      </c>
      <c r="AR10" s="261"/>
      <c r="AS10" s="261"/>
      <c r="AT10" s="261"/>
      <c r="AU10" s="261"/>
      <c r="AV10" s="261"/>
      <c r="AW10" s="261"/>
      <c r="AX10" s="261"/>
      <c r="AY10" s="261"/>
    </row>
    <row r="11" spans="1:51" s="104" customFormat="1" x14ac:dyDescent="0.35">
      <c r="A11" s="104">
        <f t="shared" si="20"/>
        <v>2034</v>
      </c>
      <c r="B11" s="104">
        <f t="shared" si="16"/>
        <v>73</v>
      </c>
      <c r="C11" s="105">
        <f t="shared" ca="1" si="10"/>
        <v>1345028.9885676075</v>
      </c>
      <c r="D11" s="105">
        <f t="shared" ca="1" si="17"/>
        <v>61388.328406691231</v>
      </c>
      <c r="E11" s="106">
        <f t="shared" ca="1" si="0"/>
        <v>4.5640896165417902E-2</v>
      </c>
      <c r="F11" s="74">
        <f t="shared" ca="1" si="1"/>
        <v>61388.328406691231</v>
      </c>
      <c r="G11" s="106">
        <f t="shared" ca="1" si="2"/>
        <v>4.5640896165417902E-2</v>
      </c>
      <c r="H11" s="105">
        <f t="shared" ca="1" si="3"/>
        <v>-108408.94664202871</v>
      </c>
      <c r="I11" s="105">
        <f t="shared" ca="1" si="11"/>
        <v>1175231.7135188875</v>
      </c>
      <c r="J11" s="106">
        <f t="shared" ca="1" si="4"/>
        <v>4.5640896165417902E-2</v>
      </c>
      <c r="K11" s="107" t="str">
        <f t="shared" ca="1" si="5"/>
        <v/>
      </c>
      <c r="L11" s="78"/>
      <c r="M11" s="78"/>
      <c r="N11" s="79">
        <f t="shared" ca="1" si="6"/>
        <v>5.6716607330066761E-2</v>
      </c>
      <c r="O11" s="79">
        <f t="shared" ca="1" si="7"/>
        <v>-8.0599710164967614E-2</v>
      </c>
      <c r="P11" s="79"/>
      <c r="Q11" s="105">
        <f t="shared" ca="1" si="12"/>
        <v>1774745.4584796131</v>
      </c>
      <c r="X11" s="105">
        <f t="shared" ca="1" si="13"/>
        <v>-599513.74496072554</v>
      </c>
      <c r="Z11" s="105">
        <f t="shared" ca="1" si="18"/>
        <v>50363.056278200587</v>
      </c>
      <c r="AF11" s="144"/>
      <c r="AI11" s="120">
        <f t="shared" ca="1" si="19"/>
        <v>1.2189158669717763</v>
      </c>
      <c r="AJ11" s="105">
        <f t="shared" ca="1" si="14"/>
        <v>304728.96674294391</v>
      </c>
      <c r="AK11" s="105">
        <f t="shared" ca="1" si="15"/>
        <v>1108576.5579013953</v>
      </c>
      <c r="AL11" s="104">
        <f t="shared" ca="1" si="8"/>
        <v>0</v>
      </c>
      <c r="AN11" s="105">
        <f t="shared" ca="1" si="9"/>
        <v>909477.5020490106</v>
      </c>
      <c r="AQ11" s="261"/>
      <c r="AR11" s="261"/>
      <c r="AS11" s="261"/>
      <c r="AT11" s="261"/>
      <c r="AU11" s="261"/>
      <c r="AV11" s="261"/>
      <c r="AW11" s="261"/>
      <c r="AX11" s="261"/>
      <c r="AY11" s="261"/>
    </row>
    <row r="12" spans="1:51" x14ac:dyDescent="0.35">
      <c r="A12">
        <f t="shared" si="20"/>
        <v>2035</v>
      </c>
      <c r="B12">
        <f t="shared" si="16"/>
        <v>74</v>
      </c>
      <c r="C12" s="7">
        <f t="shared" ca="1" si="10"/>
        <v>1175231.7135188875</v>
      </c>
      <c r="D12" s="7">
        <f t="shared" ca="1" si="17"/>
        <v>61388.328406691231</v>
      </c>
      <c r="E12" s="68">
        <f t="shared" ca="1" si="0"/>
        <v>5.2235084962846894E-2</v>
      </c>
      <c r="F12" s="74">
        <f t="shared" ca="1" si="1"/>
        <v>55249.495566022109</v>
      </c>
      <c r="G12" s="68">
        <f t="shared" ca="1" si="2"/>
        <v>4.7011576466562205E-2</v>
      </c>
      <c r="H12" s="7">
        <f t="shared" ca="1" si="3"/>
        <v>3386.4285838264682</v>
      </c>
      <c r="I12" s="81">
        <f t="shared" ca="1" si="11"/>
        <v>1123368.6465366918</v>
      </c>
      <c r="J12" s="68">
        <f t="shared" ca="1" si="4"/>
        <v>5.2235084962846894E-2</v>
      </c>
      <c r="K12" s="76">
        <f t="shared" ca="1" si="5"/>
        <v>1</v>
      </c>
      <c r="L12" s="75"/>
      <c r="M12" s="78"/>
      <c r="N12" s="67">
        <f t="shared" ca="1" si="6"/>
        <v>1.3384453652947163E-2</v>
      </c>
      <c r="O12" s="67">
        <f t="shared" ca="1" si="7"/>
        <v>2.8814986396910602E-3</v>
      </c>
      <c r="P12" s="79"/>
      <c r="Q12" s="7">
        <f t="shared" ca="1" si="12"/>
        <v>1875402.9997590205</v>
      </c>
      <c r="X12" s="7">
        <f t="shared" ca="1" si="13"/>
        <v>-752034.3532223287</v>
      </c>
      <c r="Y12" s="104"/>
      <c r="Z12" s="7">
        <f t="shared" ca="1" si="18"/>
        <v>44728.089608036891</v>
      </c>
      <c r="AE12" s="104"/>
      <c r="AG12" s="68"/>
      <c r="AI12" s="115">
        <f t="shared" ca="1" si="19"/>
        <v>1.235230389900102</v>
      </c>
      <c r="AJ12" s="7">
        <f t="shared" ca="1" si="14"/>
        <v>308807.59747502534</v>
      </c>
      <c r="AK12" s="7">
        <f t="shared" ca="1" si="15"/>
        <v>1108332.9709519474</v>
      </c>
      <c r="AL12">
        <f t="shared" ca="1" si="8"/>
        <v>0</v>
      </c>
      <c r="AM12" s="104"/>
      <c r="AN12" s="7">
        <f t="shared" ca="1" si="9"/>
        <v>897268.21815125737</v>
      </c>
      <c r="AQ12" s="261"/>
      <c r="AR12" s="261"/>
      <c r="AS12" s="261"/>
      <c r="AT12" s="261"/>
      <c r="AU12" s="261"/>
      <c r="AV12" s="261"/>
      <c r="AW12" s="261"/>
      <c r="AX12" s="261"/>
      <c r="AY12" s="261"/>
    </row>
    <row r="13" spans="1:51" x14ac:dyDescent="0.35">
      <c r="A13">
        <f t="shared" si="20"/>
        <v>2036</v>
      </c>
      <c r="B13">
        <f t="shared" si="16"/>
        <v>75</v>
      </c>
      <c r="C13" s="7">
        <f t="shared" ca="1" si="10"/>
        <v>1123368.6465366918</v>
      </c>
      <c r="D13" s="7">
        <f t="shared" ca="1" si="17"/>
        <v>55988.979878774247</v>
      </c>
      <c r="E13" s="68">
        <f t="shared" ca="1" si="0"/>
        <v>4.9840255067992514E-2</v>
      </c>
      <c r="F13" s="74">
        <f t="shared" ca="1" si="1"/>
        <v>50390.081890896821</v>
      </c>
      <c r="G13" s="68">
        <f t="shared" ca="1" si="2"/>
        <v>4.4856229561193263E-2</v>
      </c>
      <c r="H13" s="7">
        <f t="shared" ca="1" si="3"/>
        <v>-32899.980364895069</v>
      </c>
      <c r="I13" s="81">
        <f t="shared" ca="1" si="11"/>
        <v>1040078.5842808998</v>
      </c>
      <c r="J13" s="68">
        <f t="shared" ca="1" si="4"/>
        <v>4.9840255067992514E-2</v>
      </c>
      <c r="K13" s="76">
        <f t="shared" ca="1" si="5"/>
        <v>1</v>
      </c>
      <c r="L13" s="75"/>
      <c r="M13" s="78"/>
      <c r="N13" s="67">
        <f t="shared" ca="1" si="6"/>
        <v>3.1486183525644501E-2</v>
      </c>
      <c r="O13" s="67">
        <f t="shared" ca="1" si="7"/>
        <v>-2.9286895683197686E-2</v>
      </c>
      <c r="P13" s="79"/>
      <c r="Q13" s="7">
        <f t="shared" ca="1" si="12"/>
        <v>1900504.2442898934</v>
      </c>
      <c r="X13" s="7">
        <f t="shared" ca="1" si="13"/>
        <v>-860425.66000899358</v>
      </c>
      <c r="Y13" s="104"/>
      <c r="Z13" s="7">
        <f t="shared" ca="1" si="18"/>
        <v>39548.833747736055</v>
      </c>
      <c r="AE13" s="104"/>
      <c r="AG13" s="68"/>
      <c r="AI13" s="115">
        <f t="shared" ca="1" si="19"/>
        <v>1.2741230806529502</v>
      </c>
      <c r="AJ13" s="7">
        <f t="shared" ca="1" si="14"/>
        <v>318530.77016323735</v>
      </c>
      <c r="AK13" s="7">
        <f t="shared" ca="1" si="15"/>
        <v>1007330.479095139</v>
      </c>
      <c r="AL13">
        <f t="shared" ca="1" si="8"/>
        <v>0</v>
      </c>
      <c r="AM13" s="104"/>
      <c r="AN13" s="7">
        <f t="shared" ca="1" si="9"/>
        <v>790606.88436702057</v>
      </c>
    </row>
    <row r="14" spans="1:51" x14ac:dyDescent="0.35">
      <c r="A14">
        <f t="shared" si="20"/>
        <v>2037</v>
      </c>
      <c r="B14">
        <f t="shared" si="16"/>
        <v>76</v>
      </c>
      <c r="C14" s="7">
        <f t="shared" ca="1" si="10"/>
        <v>1040078.5842808998</v>
      </c>
      <c r="D14" s="7">
        <f t="shared" ca="1" si="17"/>
        <v>50390.081890896821</v>
      </c>
      <c r="E14" s="68">
        <f t="shared" ca="1" si="0"/>
        <v>4.8448340973904422E-2</v>
      </c>
      <c r="F14" s="74">
        <f t="shared" ca="1" si="1"/>
        <v>50390.081890896821</v>
      </c>
      <c r="G14" s="68">
        <f t="shared" ca="1" si="2"/>
        <v>4.8448340973904422E-2</v>
      </c>
      <c r="H14" s="7">
        <f t="shared" ca="1" si="3"/>
        <v>54307.055712435926</v>
      </c>
      <c r="I14" s="81">
        <f t="shared" ca="1" si="11"/>
        <v>1043995.558102439</v>
      </c>
      <c r="J14" s="68">
        <f t="shared" ca="1" si="4"/>
        <v>4.8448340973904422E-2</v>
      </c>
      <c r="K14" s="76" t="str">
        <f t="shared" ca="1" si="5"/>
        <v/>
      </c>
      <c r="L14" s="75"/>
      <c r="M14" s="78"/>
      <c r="N14" s="67">
        <f t="shared" ca="1" si="6"/>
        <v>8.713262566322582E-3</v>
      </c>
      <c r="O14" s="67">
        <f t="shared" ca="1" si="7"/>
        <v>5.2214377387631045E-2</v>
      </c>
      <c r="P14" s="79"/>
      <c r="Q14" s="7">
        <f t="shared" ca="1" si="12"/>
        <v>1960343.8697168715</v>
      </c>
      <c r="X14" s="7">
        <f t="shared" ca="1" si="13"/>
        <v>-916348.31161443249</v>
      </c>
      <c r="Y14" s="104"/>
      <c r="Z14" s="7">
        <f t="shared" ca="1" si="18"/>
        <v>39207.211023594253</v>
      </c>
      <c r="AE14" s="104"/>
      <c r="AG14" s="68"/>
      <c r="AI14" s="115">
        <f t="shared" ca="1" si="19"/>
        <v>1.2852248495964913</v>
      </c>
      <c r="AJ14" s="7">
        <f t="shared" ca="1" si="14"/>
        <v>321306.2123991226</v>
      </c>
      <c r="AK14" s="7">
        <f t="shared" ca="1" si="15"/>
        <v>1034898.9506866181</v>
      </c>
      <c r="AL14">
        <f t="shared" ca="1" si="8"/>
        <v>0</v>
      </c>
      <c r="AM14" s="104"/>
      <c r="AN14" s="7">
        <f t="shared" ca="1" si="9"/>
        <v>805227.93424943078</v>
      </c>
    </row>
    <row r="15" spans="1:51" x14ac:dyDescent="0.35">
      <c r="A15">
        <f t="shared" si="20"/>
        <v>2038</v>
      </c>
      <c r="B15">
        <f t="shared" si="16"/>
        <v>77</v>
      </c>
      <c r="C15" s="7">
        <f t="shared" ca="1" si="10"/>
        <v>1043995.558102439</v>
      </c>
      <c r="D15" s="7">
        <f t="shared" ca="1" si="17"/>
        <v>50829.143905150704</v>
      </c>
      <c r="E15" s="68">
        <f t="shared" ca="1" si="0"/>
        <v>4.8687126598064741E-2</v>
      </c>
      <c r="F15" s="74">
        <f t="shared" ca="1" si="1"/>
        <v>50829.143905150704</v>
      </c>
      <c r="G15" s="68">
        <f t="shared" ca="1" si="2"/>
        <v>4.8687126598064741E-2</v>
      </c>
      <c r="H15" s="7">
        <f t="shared" ca="1" si="3"/>
        <v>18673.654093992056</v>
      </c>
      <c r="I15" s="81">
        <f t="shared" ca="1" si="11"/>
        <v>1011840.0682912804</v>
      </c>
      <c r="J15" s="68">
        <f t="shared" ca="1" si="4"/>
        <v>4.8687126598064741E-2</v>
      </c>
      <c r="K15" s="76" t="str">
        <f t="shared" ca="1" si="5"/>
        <v/>
      </c>
      <c r="L15" s="75"/>
      <c r="M15" s="78"/>
      <c r="N15" s="67">
        <f t="shared" ca="1" si="6"/>
        <v>6.0234262279394712E-2</v>
      </c>
      <c r="O15" s="67">
        <f t="shared" ca="1" si="7"/>
        <v>1.7886717954943405E-2</v>
      </c>
      <c r="P15" s="79"/>
      <c r="Q15" s="7">
        <f t="shared" ca="1" si="12"/>
        <v>1977424.8605739956</v>
      </c>
      <c r="X15" s="7">
        <f t="shared" ca="1" si="13"/>
        <v>-965584.79228271521</v>
      </c>
      <c r="Y15" s="104"/>
      <c r="Z15" s="7">
        <f t="shared" ca="1" si="18"/>
        <v>37301.976699668354</v>
      </c>
      <c r="AE15" s="104"/>
      <c r="AF15" t="s">
        <v>197</v>
      </c>
      <c r="AG15" s="68">
        <v>3.7900000000000003E-2</v>
      </c>
      <c r="AI15" s="115">
        <f t="shared" ca="1" si="19"/>
        <v>1.362639420275082</v>
      </c>
      <c r="AJ15" s="7">
        <f t="shared" ca="1" si="14"/>
        <v>340659.8550687703</v>
      </c>
      <c r="AK15" s="7">
        <f t="shared" ca="1" si="15"/>
        <v>950892.62823302276</v>
      </c>
      <c r="AL15">
        <f t="shared" ca="1" si="8"/>
        <v>0</v>
      </c>
      <c r="AM15" s="104"/>
      <c r="AN15" s="7">
        <f t="shared" ca="1" si="9"/>
        <v>697831.43954624608</v>
      </c>
    </row>
    <row r="16" spans="1:51" x14ac:dyDescent="0.35">
      <c r="A16">
        <f t="shared" si="20"/>
        <v>2039</v>
      </c>
      <c r="B16">
        <f t="shared" si="16"/>
        <v>78</v>
      </c>
      <c r="C16" s="7">
        <f t="shared" ca="1" si="10"/>
        <v>1011840.0682912804</v>
      </c>
      <c r="D16" s="7">
        <f t="shared" ca="1" si="17"/>
        <v>53890.799890570648</v>
      </c>
      <c r="E16" s="68">
        <f t="shared" ca="1" si="0"/>
        <v>5.3260195538191515E-2</v>
      </c>
      <c r="F16" s="74">
        <f t="shared" ca="1" si="1"/>
        <v>48501.719901513585</v>
      </c>
      <c r="G16" s="68">
        <f t="shared" ca="1" si="2"/>
        <v>4.7934175984372364E-2</v>
      </c>
      <c r="H16" s="7">
        <f t="shared" ca="1" si="3"/>
        <v>19458.38529128299</v>
      </c>
      <c r="I16" s="81">
        <f t="shared" ca="1" si="11"/>
        <v>982796.7336810499</v>
      </c>
      <c r="J16" s="68">
        <f t="shared" ca="1" si="4"/>
        <v>5.3260195538191515E-2</v>
      </c>
      <c r="K16" s="76">
        <f t="shared" ca="1" si="5"/>
        <v>1</v>
      </c>
      <c r="L16" s="75"/>
      <c r="M16" s="78"/>
      <c r="N16" s="67">
        <f t="shared" ca="1" si="6"/>
        <v>5.1461591519787561E-2</v>
      </c>
      <c r="O16" s="67">
        <f t="shared" ca="1" si="7"/>
        <v>1.9230692577872362E-2</v>
      </c>
      <c r="P16" s="79"/>
      <c r="Q16" s="7">
        <f t="shared" ca="1" si="12"/>
        <v>2096533.5882636053</v>
      </c>
      <c r="X16" s="7">
        <f t="shared" ca="1" si="13"/>
        <v>-1113736.8545825554</v>
      </c>
      <c r="Y16" s="104"/>
      <c r="Z16" s="7">
        <f t="shared" ca="1" si="18"/>
        <v>33851.87881329529</v>
      </c>
      <c r="AE16" s="104"/>
      <c r="AF16" t="s">
        <v>198</v>
      </c>
      <c r="AG16" s="68">
        <v>2.7300000000000001E-2</v>
      </c>
      <c r="AI16" s="115">
        <f t="shared" ca="1" si="19"/>
        <v>1.4327630135100384</v>
      </c>
      <c r="AJ16" s="7">
        <f t="shared" ca="1" si="14"/>
        <v>358190.75337750936</v>
      </c>
      <c r="AK16" s="7">
        <f t="shared" ca="1" si="15"/>
        <v>932220.44962537428</v>
      </c>
      <c r="AL16">
        <f t="shared" ca="1" si="8"/>
        <v>0</v>
      </c>
      <c r="AM16" s="104"/>
      <c r="AN16" s="7">
        <f t="shared" ca="1" si="9"/>
        <v>650645.25035552424</v>
      </c>
    </row>
    <row r="17" spans="1:44" x14ac:dyDescent="0.35">
      <c r="A17">
        <f t="shared" si="20"/>
        <v>2040</v>
      </c>
      <c r="B17">
        <f t="shared" si="16"/>
        <v>79</v>
      </c>
      <c r="C17" s="7">
        <f t="shared" ca="1" si="10"/>
        <v>982796.7336810499</v>
      </c>
      <c r="D17" s="7">
        <f t="shared" ca="1" si="17"/>
        <v>50997.695599092425</v>
      </c>
      <c r="E17" s="68">
        <f t="shared" ca="1" si="0"/>
        <v>5.1890379619070719E-2</v>
      </c>
      <c r="F17" s="74">
        <f t="shared" ca="1" si="1"/>
        <v>45897.926039183185</v>
      </c>
      <c r="G17" s="68">
        <f t="shared" ca="1" si="2"/>
        <v>4.670134165716365E-2</v>
      </c>
      <c r="H17" s="7">
        <f t="shared" ca="1" si="3"/>
        <v>150670.66960384365</v>
      </c>
      <c r="I17" s="81">
        <f t="shared" ca="1" si="11"/>
        <v>1087569.4772457103</v>
      </c>
      <c r="J17" s="68">
        <f t="shared" ca="1" si="4"/>
        <v>5.1890379619070719E-2</v>
      </c>
      <c r="K17" s="76">
        <f t="shared" ca="1" si="5"/>
        <v>1</v>
      </c>
      <c r="L17" s="75"/>
      <c r="M17" s="78"/>
      <c r="N17" s="67">
        <f t="shared" ca="1" si="6"/>
        <v>4.9829759899362884E-2</v>
      </c>
      <c r="O17" s="67">
        <f t="shared" ca="1" si="7"/>
        <v>0.15330806914620992</v>
      </c>
      <c r="P17" s="79"/>
      <c r="Q17" s="7">
        <f t="shared" ca="1" si="12"/>
        <v>2204424.5433903416</v>
      </c>
      <c r="X17" s="7">
        <f t="shared" ca="1" si="13"/>
        <v>-1116855.0661446312</v>
      </c>
      <c r="Y17" s="104"/>
      <c r="Z17" s="7">
        <f t="shared" ca="1" si="18"/>
        <v>30514.047666868431</v>
      </c>
      <c r="AE17" s="104"/>
      <c r="AG17" s="68"/>
      <c r="AI17" s="115">
        <f t="shared" ca="1" si="19"/>
        <v>1.5041572504659313</v>
      </c>
      <c r="AJ17" s="7">
        <f t="shared" ca="1" si="14"/>
        <v>376039.31261648255</v>
      </c>
      <c r="AK17" s="7">
        <f t="shared" ca="1" si="15"/>
        <v>1033376.151320681</v>
      </c>
      <c r="AL17">
        <f t="shared" ca="1" si="8"/>
        <v>0</v>
      </c>
      <c r="AM17" s="104"/>
      <c r="AN17" s="7">
        <f t="shared" ca="1" si="9"/>
        <v>687013.37642761751</v>
      </c>
    </row>
    <row r="18" spans="1:44" x14ac:dyDescent="0.35">
      <c r="A18">
        <f t="shared" si="20"/>
        <v>2041</v>
      </c>
      <c r="B18">
        <f t="shared" si="16"/>
        <v>80</v>
      </c>
      <c r="C18" s="7">
        <f t="shared" ca="1" si="10"/>
        <v>1087569.4772457103</v>
      </c>
      <c r="D18" s="7">
        <f t="shared" ca="1" si="17"/>
        <v>48185.008673594399</v>
      </c>
      <c r="E18" s="68">
        <f t="shared" ca="1" si="0"/>
        <v>4.4305223419494832E-2</v>
      </c>
      <c r="F18" s="74">
        <f t="shared" ca="1" si="1"/>
        <v>48185.008673594399</v>
      </c>
      <c r="G18" s="68">
        <f t="shared" ca="1" si="2"/>
        <v>4.4305223419494832E-2</v>
      </c>
      <c r="H18" s="7">
        <f t="shared" ca="1" si="3"/>
        <v>337269.96972190717</v>
      </c>
      <c r="I18" s="81">
        <f t="shared" ca="1" si="11"/>
        <v>1376654.438294023</v>
      </c>
      <c r="J18" s="68">
        <f t="shared" ca="1" si="4"/>
        <v>4.4305223419494832E-2</v>
      </c>
      <c r="K18" s="76" t="str">
        <f t="shared" ca="1" si="5"/>
        <v/>
      </c>
      <c r="L18" s="75"/>
      <c r="M18" s="78"/>
      <c r="N18" s="67">
        <f t="shared" ca="1" si="6"/>
        <v>5.0738556384659073E-2</v>
      </c>
      <c r="O18" s="67">
        <f t="shared" ca="1" si="7"/>
        <v>0.31011349323268023</v>
      </c>
      <c r="P18" s="79"/>
      <c r="Q18" s="7">
        <f t="shared" ca="1" si="12"/>
        <v>2314270.4891037447</v>
      </c>
      <c r="X18" s="7">
        <f t="shared" ca="1" si="13"/>
        <v>-937616.0508097217</v>
      </c>
      <c r="Y18" s="104"/>
      <c r="Z18" s="7">
        <f t="shared" ca="1" si="18"/>
        <v>30487.655697997285</v>
      </c>
      <c r="AE18" s="104"/>
      <c r="AF18" t="s">
        <v>353</v>
      </c>
      <c r="AG18" s="68">
        <v>6.7000000000000004E-2</v>
      </c>
      <c r="AI18" s="115">
        <f t="shared" ca="1" si="19"/>
        <v>1.580476017930091</v>
      </c>
      <c r="AJ18" s="7">
        <f t="shared" ca="1" si="14"/>
        <v>395119.00448252243</v>
      </c>
      <c r="AK18" s="7">
        <f t="shared" ca="1" si="15"/>
        <v>1306804.9794544505</v>
      </c>
      <c r="AL18">
        <f t="shared" ca="1" si="8"/>
        <v>0</v>
      </c>
      <c r="AM18" s="104"/>
      <c r="AN18" s="7">
        <f t="shared" ca="1" si="9"/>
        <v>826842.65033387823</v>
      </c>
    </row>
    <row r="19" spans="1:44" x14ac:dyDescent="0.35">
      <c r="A19">
        <f t="shared" si="20"/>
        <v>2042</v>
      </c>
      <c r="B19">
        <f t="shared" si="16"/>
        <v>81</v>
      </c>
      <c r="C19" s="7">
        <f t="shared" ca="1" si="10"/>
        <v>1376654.438294023</v>
      </c>
      <c r="D19" s="7">
        <f t="shared" ca="1" si="17"/>
        <v>50629.846453074861</v>
      </c>
      <c r="E19" s="68">
        <f t="shared" ca="1" si="0"/>
        <v>3.6777454853388153E-2</v>
      </c>
      <c r="F19" s="74">
        <f t="shared" ca="1" si="1"/>
        <v>50629.846453074861</v>
      </c>
      <c r="G19" s="68">
        <f t="shared" ca="1" si="2"/>
        <v>3.6777454853388153E-2</v>
      </c>
      <c r="H19" s="7">
        <f t="shared" ca="1" si="3"/>
        <v>308019.3668490657</v>
      </c>
      <c r="I19" s="81">
        <f t="shared" ca="1" si="11"/>
        <v>1634043.958690014</v>
      </c>
      <c r="J19" s="68">
        <f t="shared" ca="1" si="4"/>
        <v>3.6777454853388153E-2</v>
      </c>
      <c r="K19" s="76" t="str">
        <f t="shared" ca="1" si="5"/>
        <v/>
      </c>
      <c r="L19" s="75"/>
      <c r="M19" s="78"/>
      <c r="N19" s="67">
        <f t="shared" ca="1" si="6"/>
        <v>3.155651428016943E-2</v>
      </c>
      <c r="O19" s="67">
        <f t="shared" ca="1" si="7"/>
        <v>0.22374486892351089</v>
      </c>
      <c r="P19" s="79"/>
      <c r="Q19" s="7">
        <f t="shared" ca="1" si="12"/>
        <v>2431693.2328044879</v>
      </c>
      <c r="X19" s="7">
        <f t="shared" ca="1" si="13"/>
        <v>-797649.27411447396</v>
      </c>
      <c r="Y19" s="104"/>
      <c r="Z19" s="7">
        <f t="shared" ca="1" si="18"/>
        <v>31054.581006664703</v>
      </c>
      <c r="AE19" s="104"/>
      <c r="AF19" t="s">
        <v>213</v>
      </c>
      <c r="AG19" s="68">
        <v>0.1089</v>
      </c>
      <c r="AI19" s="115">
        <f t="shared" ca="1" si="19"/>
        <v>1.6303503319593673</v>
      </c>
      <c r="AJ19" s="7">
        <f t="shared" ca="1" si="14"/>
        <v>407587.58298984152</v>
      </c>
      <c r="AK19" s="7">
        <f t="shared" ca="1" si="15"/>
        <v>1582479.2271731878</v>
      </c>
      <c r="AL19">
        <f t="shared" ca="1" si="8"/>
        <v>0</v>
      </c>
      <c r="AM19" s="104"/>
      <c r="AN19" s="7">
        <f t="shared" ca="1" si="9"/>
        <v>970637.53486120515</v>
      </c>
    </row>
    <row r="20" spans="1:44" x14ac:dyDescent="0.35">
      <c r="A20">
        <f t="shared" si="20"/>
        <v>2043</v>
      </c>
      <c r="B20">
        <f t="shared" si="16"/>
        <v>82</v>
      </c>
      <c r="C20" s="7">
        <f t="shared" ca="1" si="10"/>
        <v>1634043.958690014</v>
      </c>
      <c r="D20" s="7">
        <f t="shared" ca="1" si="17"/>
        <v>52227.547925674102</v>
      </c>
      <c r="E20" s="68">
        <f t="shared" ca="1" si="0"/>
        <v>3.196214376481283E-2</v>
      </c>
      <c r="F20" s="74">
        <f t="shared" ca="1" si="1"/>
        <v>57450.302718241517</v>
      </c>
      <c r="G20" s="68">
        <f t="shared" ca="1" si="2"/>
        <v>3.5158358141294116E-2</v>
      </c>
      <c r="H20" s="7">
        <f t="shared" ca="1" si="3"/>
        <v>60847.093135517724</v>
      </c>
      <c r="I20" s="81">
        <f t="shared" ca="1" si="11"/>
        <v>1637440.7491072903</v>
      </c>
      <c r="J20" s="68">
        <f t="shared" ca="1" si="4"/>
        <v>3.196214376481283E-2</v>
      </c>
      <c r="K20" s="76">
        <f t="shared" ca="1" si="5"/>
        <v>0</v>
      </c>
      <c r="L20" s="75"/>
      <c r="M20" s="78"/>
      <c r="N20" s="67">
        <f t="shared" ca="1" si="6"/>
        <v>4.0543000485322375E-2</v>
      </c>
      <c r="O20" s="67">
        <f t="shared" ca="1" si="7"/>
        <v>3.723712132218146E-2</v>
      </c>
      <c r="P20" s="79"/>
      <c r="Q20" s="7">
        <f t="shared" ca="1" si="12"/>
        <v>2508428.9950304744</v>
      </c>
      <c r="X20" s="7">
        <f t="shared" ca="1" si="13"/>
        <v>-870988.24592318409</v>
      </c>
      <c r="Y20" s="104"/>
      <c r="Z20" s="7">
        <f t="shared" ca="1" si="18"/>
        <v>33865.021294456223</v>
      </c>
      <c r="AE20" s="104"/>
      <c r="AI20" s="115">
        <f t="shared" ca="1" si="19"/>
        <v>1.6964496262592414</v>
      </c>
      <c r="AJ20" s="7">
        <f t="shared" ca="1" si="14"/>
        <v>424112.40656481008</v>
      </c>
      <c r="AK20" s="7">
        <f t="shared" ca="1" si="15"/>
        <v>1571053.9880215467</v>
      </c>
      <c r="AL20">
        <f t="shared" ca="1" si="8"/>
        <v>0</v>
      </c>
      <c r="AM20" s="104"/>
      <c r="AN20" s="7">
        <f t="shared" ca="1" si="9"/>
        <v>926083.48854177387</v>
      </c>
    </row>
    <row r="21" spans="1:44" x14ac:dyDescent="0.35">
      <c r="A21">
        <f t="shared" si="20"/>
        <v>2044</v>
      </c>
      <c r="B21">
        <f t="shared" si="16"/>
        <v>83</v>
      </c>
      <c r="C21" s="7">
        <f t="shared" ca="1" si="10"/>
        <v>1637440.7491072903</v>
      </c>
      <c r="D21" s="7">
        <f t="shared" ca="1" si="17"/>
        <v>59779.510369229101</v>
      </c>
      <c r="E21" s="68">
        <f t="shared" ca="1" si="0"/>
        <v>3.6507892210341078E-2</v>
      </c>
      <c r="F21" s="74">
        <f t="shared" ca="1" si="1"/>
        <v>59779.510369229101</v>
      </c>
      <c r="G21" s="68">
        <f t="shared" ca="1" si="2"/>
        <v>3.6507892210341078E-2</v>
      </c>
      <c r="H21" s="7">
        <f t="shared" ca="1" si="3"/>
        <v>286684.51395874284</v>
      </c>
      <c r="I21" s="81">
        <f t="shared" ca="1" si="11"/>
        <v>1864345.752696804</v>
      </c>
      <c r="J21" s="68">
        <f t="shared" ca="1" si="4"/>
        <v>3.6507892210341078E-2</v>
      </c>
      <c r="K21" s="76" t="str">
        <f t="shared" ca="1" si="5"/>
        <v/>
      </c>
      <c r="L21" s="75"/>
      <c r="M21" s="78"/>
      <c r="N21" s="67">
        <f t="shared" ca="1" si="6"/>
        <v>-9.966752325795504E-3</v>
      </c>
      <c r="O21" s="67">
        <f t="shared" ca="1" si="7"/>
        <v>0.17508084742305285</v>
      </c>
      <c r="P21" s="79"/>
      <c r="Q21" s="7">
        <f t="shared" ca="1" si="12"/>
        <v>2610128.2329933918</v>
      </c>
      <c r="X21" s="7">
        <f t="shared" ca="1" si="13"/>
        <v>-745782.4802965878</v>
      </c>
      <c r="Y21" s="104"/>
      <c r="Z21" s="7">
        <f t="shared" ca="1" si="18"/>
        <v>35592.75504334252</v>
      </c>
      <c r="AE21" s="104"/>
      <c r="AG21" s="110"/>
      <c r="AI21" s="115">
        <f t="shared" ca="1" si="19"/>
        <v>1.6795415330011274</v>
      </c>
      <c r="AJ21" s="7">
        <f t="shared" ca="1" si="14"/>
        <v>419885.38325028156</v>
      </c>
      <c r="AK21" s="7">
        <f t="shared" ca="1" si="15"/>
        <v>1882927.225063582</v>
      </c>
      <c r="AL21">
        <f t="shared" ca="1" si="8"/>
        <v>0</v>
      </c>
      <c r="AM21" s="104"/>
      <c r="AN21" s="7">
        <f t="shared" ca="1" si="9"/>
        <v>1121095.9586685719</v>
      </c>
    </row>
    <row r="22" spans="1:44" x14ac:dyDescent="0.35">
      <c r="A22">
        <f t="shared" si="20"/>
        <v>2045</v>
      </c>
      <c r="B22">
        <f t="shared" si="16"/>
        <v>84</v>
      </c>
      <c r="C22" s="7">
        <f t="shared" ca="1" si="10"/>
        <v>1864345.752696804</v>
      </c>
      <c r="D22" s="7">
        <f t="shared" ca="1" si="17"/>
        <v>59183.702795221674</v>
      </c>
      <c r="E22" s="68">
        <f t="shared" ca="1" si="0"/>
        <v>3.1745025143330607E-2</v>
      </c>
      <c r="F22" s="74">
        <f t="shared" ca="1" si="1"/>
        <v>65102.07307474385</v>
      </c>
      <c r="G22" s="68">
        <f t="shared" ca="1" si="2"/>
        <v>3.4919527657663672E-2</v>
      </c>
      <c r="H22" s="7">
        <f t="shared" ca="1" si="3"/>
        <v>-73100.437392334148</v>
      </c>
      <c r="I22" s="81">
        <f t="shared" ca="1" si="11"/>
        <v>1726143.2422297259</v>
      </c>
      <c r="J22" s="68">
        <f t="shared" ca="1" si="4"/>
        <v>3.1745025143330607E-2</v>
      </c>
      <c r="K22" s="76">
        <f t="shared" ca="1" si="5"/>
        <v>0</v>
      </c>
      <c r="L22" s="75"/>
      <c r="M22" s="78"/>
      <c r="N22" s="67">
        <f t="shared" ca="1" si="6"/>
        <v>4.6035911757532549E-2</v>
      </c>
      <c r="O22" s="67">
        <f t="shared" ca="1" si="7"/>
        <v>-3.9209699856688748E-2</v>
      </c>
      <c r="P22" s="79"/>
      <c r="Q22" s="7">
        <f t="shared" ca="1" si="12"/>
        <v>2584113.7313565803</v>
      </c>
      <c r="X22" s="7">
        <f t="shared" ca="1" si="13"/>
        <v>-857970.48912685434</v>
      </c>
      <c r="Y22" s="104"/>
      <c r="Z22" s="7">
        <f t="shared" ca="1" si="18"/>
        <v>37055.909381762169</v>
      </c>
      <c r="AE22" s="104"/>
      <c r="AF22" s="7" t="s">
        <v>67</v>
      </c>
      <c r="AG22" s="7">
        <f ca="1">IF(force_recalc,$AG$22+1,0)</f>
        <v>10001</v>
      </c>
      <c r="AI22" s="115">
        <f t="shared" ca="1" si="19"/>
        <v>1.7568607588074785</v>
      </c>
      <c r="AJ22" s="7">
        <f t="shared" ca="1" si="14"/>
        <v>439215.18970186927</v>
      </c>
      <c r="AK22" s="7">
        <f ca="1">I22*(1-N22)</f>
        <v>1646678.6642495771</v>
      </c>
      <c r="AL22">
        <f t="shared" ca="1" si="8"/>
        <v>0</v>
      </c>
      <c r="AM22" s="104"/>
      <c r="AN22" s="7">
        <f t="shared" ca="1" si="9"/>
        <v>937284.67437983491</v>
      </c>
    </row>
    <row r="23" spans="1:44" x14ac:dyDescent="0.35">
      <c r="A23">
        <f t="shared" si="20"/>
        <v>2046</v>
      </c>
      <c r="B23">
        <f t="shared" si="16"/>
        <v>85</v>
      </c>
      <c r="C23" s="7">
        <f t="shared" ca="1" si="10"/>
        <v>1726143.2422297259</v>
      </c>
      <c r="D23" s="7">
        <f t="shared" ca="1" si="17"/>
        <v>65102.07307474385</v>
      </c>
      <c r="E23" s="68">
        <f t="shared" ca="1" si="0"/>
        <v>3.7715336411275453E-2</v>
      </c>
      <c r="F23" s="74">
        <f t="shared" ca="1" si="1"/>
        <v>65102.07307474385</v>
      </c>
      <c r="G23" s="68">
        <f t="shared" ca="1" si="2"/>
        <v>3.7715336411275453E-2</v>
      </c>
      <c r="H23" s="7">
        <f t="shared" ca="1" si="3"/>
        <v>85796.7294846234</v>
      </c>
      <c r="I23" s="81">
        <f t="shared" ca="1" si="11"/>
        <v>1746837.8986396054</v>
      </c>
      <c r="J23" s="68">
        <f t="shared" ca="1" si="4"/>
        <v>3.7715336411275453E-2</v>
      </c>
      <c r="K23" s="76" t="str">
        <f t="shared" ca="1" si="5"/>
        <v/>
      </c>
      <c r="L23" s="75"/>
      <c r="M23" s="78"/>
      <c r="N23" s="67">
        <f t="shared" ca="1" si="6"/>
        <v>5.9680001226580487E-2</v>
      </c>
      <c r="O23" s="67">
        <f t="shared" ca="1" si="7"/>
        <v>4.9704293007454263E-2</v>
      </c>
      <c r="P23" s="79"/>
      <c r="Q23" s="7">
        <f t="shared" ca="1" si="12"/>
        <v>2703075.7630647402</v>
      </c>
      <c r="X23" s="7">
        <f t="shared" ca="1" si="13"/>
        <v>-956237.86442513485</v>
      </c>
      <c r="Y23" s="104"/>
      <c r="Z23" s="7">
        <f t="shared" ca="1" si="18"/>
        <v>34968.961704354071</v>
      </c>
      <c r="AE23" s="104"/>
      <c r="AF23" s="7" t="s">
        <v>230</v>
      </c>
      <c r="AG23">
        <f ca="1">IF(force_recalc,IF($K$42=0,AG23+1,AG23),0)</f>
        <v>0</v>
      </c>
      <c r="AH23" s="67">
        <f ca="1">AG23/AG22</f>
        <v>0</v>
      </c>
      <c r="AI23" s="115">
        <f t="shared" ca="1" si="19"/>
        <v>1.8617102110480401</v>
      </c>
      <c r="AJ23" s="7">
        <f t="shared" ca="1" si="14"/>
        <v>465427.55276200967</v>
      </c>
      <c r="AK23" s="7">
        <f t="shared" ca="1" si="15"/>
        <v>1642586.6107061566</v>
      </c>
      <c r="AL23">
        <f t="shared" ca="1" si="8"/>
        <v>0</v>
      </c>
      <c r="AM23" s="104"/>
      <c r="AN23" s="7">
        <f t="shared" ca="1" si="9"/>
        <v>882299.8342913267</v>
      </c>
    </row>
    <row r="24" spans="1:44" ht="15" thickBot="1" x14ac:dyDescent="0.4">
      <c r="A24">
        <f t="shared" si="20"/>
        <v>2047</v>
      </c>
      <c r="B24">
        <f t="shared" si="16"/>
        <v>86</v>
      </c>
      <c r="C24" s="7">
        <f t="shared" ca="1" si="10"/>
        <v>1746837.8986396054</v>
      </c>
      <c r="D24" s="7">
        <f ca="1">IF(O23&gt;=0,F23*(1+N23),F23)</f>
        <v>68987.364875697502</v>
      </c>
      <c r="E24" s="68">
        <f t="shared" ca="1" si="0"/>
        <v>3.9492711332530156E-2</v>
      </c>
      <c r="F24" s="74">
        <f t="shared" ca="1" si="1"/>
        <v>68987.364875697502</v>
      </c>
      <c r="G24" s="68">
        <f t="shared" ca="1" si="2"/>
        <v>3.9492711332530156E-2</v>
      </c>
      <c r="H24" s="7">
        <f t="shared" ca="1" si="3"/>
        <v>-88939.255376809582</v>
      </c>
      <c r="I24" s="81">
        <f t="shared" ca="1" si="11"/>
        <v>1588911.2783870983</v>
      </c>
      <c r="J24" s="68">
        <f t="shared" ca="1" si="4"/>
        <v>3.9492711332530156E-2</v>
      </c>
      <c r="K24" s="76" t="str">
        <f t="shared" ca="1" si="5"/>
        <v/>
      </c>
      <c r="L24" s="75"/>
      <c r="M24" s="78"/>
      <c r="N24" s="67">
        <f t="shared" ca="1" si="6"/>
        <v>7.7823296639004808E-3</v>
      </c>
      <c r="O24" s="67">
        <f t="shared" ca="1" si="7"/>
        <v>-5.0914429693833238E-2</v>
      </c>
      <c r="P24" s="79"/>
      <c r="Q24" s="7">
        <f t="shared" ca="1" si="12"/>
        <v>2864395.3279199842</v>
      </c>
      <c r="X24" s="7">
        <f t="shared" ca="1" si="13"/>
        <v>-1275484.0495328859</v>
      </c>
      <c r="Y24" s="104"/>
      <c r="Z24" s="7">
        <f t="shared" ca="1" si="18"/>
        <v>36769.755026485203</v>
      </c>
      <c r="AE24" s="104"/>
      <c r="AF24" s="7" t="s">
        <v>130</v>
      </c>
      <c r="AG24">
        <f ca="1">IF(force_recalc,IF(end_portfolio_adjusted_for_inflation&lt;portfolio_min,AG24+1,AG24),0)</f>
        <v>405</v>
      </c>
      <c r="AH24" s="67">
        <f ca="1">AG24/AG22</f>
        <v>4.0495950404959506E-2</v>
      </c>
      <c r="AI24" s="115">
        <f t="shared" ca="1" si="19"/>
        <v>1.8761986536490658</v>
      </c>
      <c r="AJ24" s="7">
        <f t="shared" ca="1" si="14"/>
        <v>469049.66341226612</v>
      </c>
      <c r="AK24" s="7">
        <f t="shared" ca="1" si="15"/>
        <v>1576545.8470120004</v>
      </c>
      <c r="AL24">
        <f t="shared" ca="1" si="8"/>
        <v>0</v>
      </c>
      <c r="AM24" s="104"/>
      <c r="AN24" s="7">
        <f t="shared" ca="1" si="9"/>
        <v>840287.27125762345</v>
      </c>
    </row>
    <row r="25" spans="1:44" ht="15" thickBot="1" x14ac:dyDescent="0.4">
      <c r="A25">
        <f t="shared" si="20"/>
        <v>2048</v>
      </c>
      <c r="B25">
        <f t="shared" si="16"/>
        <v>87</v>
      </c>
      <c r="C25" s="7">
        <f t="shared" ca="1" si="10"/>
        <v>1588911.2783870983</v>
      </c>
      <c r="D25" s="7">
        <f t="shared" ca="1" si="17"/>
        <v>68987.364875697502</v>
      </c>
      <c r="E25" s="68">
        <f t="shared" ca="1" si="0"/>
        <v>4.3418009434564829E-2</v>
      </c>
      <c r="F25" s="74">
        <f t="shared" ca="1" si="1"/>
        <v>68987.364875697502</v>
      </c>
      <c r="G25" s="68">
        <f t="shared" ca="1" si="2"/>
        <v>4.3418009434564829E-2</v>
      </c>
      <c r="H25" s="7">
        <f t="shared" ca="1" si="3"/>
        <v>156278.61303538925</v>
      </c>
      <c r="I25" s="81">
        <f t="shared" ca="1" si="11"/>
        <v>1676202.52654679</v>
      </c>
      <c r="J25" s="68">
        <f t="shared" ca="1" si="4"/>
        <v>4.3418009434564829E-2</v>
      </c>
      <c r="K25" s="76" t="str">
        <f t="shared" ca="1" si="5"/>
        <v/>
      </c>
      <c r="L25" s="75"/>
      <c r="M25" s="78"/>
      <c r="N25" s="67">
        <f t="shared" ca="1" si="6"/>
        <v>5.5522264084715514E-2</v>
      </c>
      <c r="O25" s="67">
        <f t="shared" ca="1" si="7"/>
        <v>9.8355783083135681E-2</v>
      </c>
      <c r="P25" s="79"/>
      <c r="Q25" s="7">
        <f t="shared" ca="1" si="12"/>
        <v>2886686.996649594</v>
      </c>
      <c r="X25" s="7">
        <f t="shared" ca="1" si="13"/>
        <v>-1210484.470102804</v>
      </c>
      <c r="Y25" s="104"/>
      <c r="Z25" s="7">
        <f t="shared" ca="1" si="18"/>
        <v>34835.603452069001</v>
      </c>
      <c r="AE25" s="104"/>
      <c r="AF25" s="7" t="s">
        <v>135</v>
      </c>
      <c r="AG25">
        <f ca="1">AG22-AG24</f>
        <v>9596</v>
      </c>
      <c r="AH25" s="116">
        <f ca="1">1-AH24</f>
        <v>0.95950404959504054</v>
      </c>
      <c r="AI25" s="115">
        <f t="shared" ca="1" si="19"/>
        <v>1.9803694507723568</v>
      </c>
      <c r="AJ25" s="7">
        <f t="shared" ca="1" si="14"/>
        <v>495092.36269308889</v>
      </c>
      <c r="AK25" s="7">
        <f t="shared" ca="1" si="15"/>
        <v>1583135.9672083918</v>
      </c>
      <c r="AL25">
        <f t="shared" ca="1" si="8"/>
        <v>0</v>
      </c>
      <c r="AM25" s="104"/>
      <c r="AN25" s="7">
        <f t="shared" ca="1" si="9"/>
        <v>799414.45602029387</v>
      </c>
    </row>
    <row r="26" spans="1:44" ht="15" thickBot="1" x14ac:dyDescent="0.4">
      <c r="A26">
        <f t="shared" si="20"/>
        <v>2049</v>
      </c>
      <c r="B26">
        <f t="shared" si="16"/>
        <v>88</v>
      </c>
      <c r="C26" s="7">
        <f t="shared" ca="1" si="10"/>
        <v>1676202.52654679</v>
      </c>
      <c r="D26" s="7">
        <f t="shared" ca="1" si="17"/>
        <v>72817.699566834606</v>
      </c>
      <c r="E26" s="68">
        <f t="shared" ca="1" si="0"/>
        <v>4.3442065271700296E-2</v>
      </c>
      <c r="F26" s="74">
        <f t="shared" ca="1" si="1"/>
        <v>72817.699566834606</v>
      </c>
      <c r="G26" s="68">
        <f t="shared" ca="1" si="2"/>
        <v>4.3442065271700296E-2</v>
      </c>
      <c r="H26" s="7">
        <f t="shared" ca="1" si="3"/>
        <v>204606.64198287184</v>
      </c>
      <c r="I26" s="81">
        <f t="shared" ca="1" si="11"/>
        <v>1807991.4689628272</v>
      </c>
      <c r="J26" s="68">
        <f t="shared" ca="1" si="4"/>
        <v>4.3442065271700296E-2</v>
      </c>
      <c r="K26" s="76" t="str">
        <f t="shared" ca="1" si="5"/>
        <v/>
      </c>
      <c r="L26" s="75"/>
      <c r="M26" s="78"/>
      <c r="N26" s="67">
        <f t="shared" ca="1" si="6"/>
        <v>4.8602492335342834E-2</v>
      </c>
      <c r="O26" s="67">
        <f t="shared" ca="1" si="7"/>
        <v>0.12206558500087095</v>
      </c>
      <c r="P26" s="79"/>
      <c r="Q26" s="7">
        <f t="shared" ca="1" si="12"/>
        <v>3046962.394407487</v>
      </c>
      <c r="X26" s="7">
        <f t="shared" ca="1" si="13"/>
        <v>-1238970.9254446598</v>
      </c>
      <c r="Y26" s="104"/>
      <c r="Z26" s="7">
        <f t="shared" ca="1" si="18"/>
        <v>35065.485057731719</v>
      </c>
      <c r="AE26" s="104"/>
      <c r="AF26" s="7" t="s">
        <v>91</v>
      </c>
      <c r="AG26">
        <v>0</v>
      </c>
      <c r="AH26" s="67">
        <f ca="1">AG26/AG22</f>
        <v>0</v>
      </c>
      <c r="AI26" s="115">
        <f t="shared" ca="1" si="19"/>
        <v>2.0766203418246674</v>
      </c>
      <c r="AJ26" s="7">
        <f t="shared" ca="1" si="14"/>
        <v>519155.08545616647</v>
      </c>
      <c r="AK26" s="7">
        <f t="shared" ca="1" si="15"/>
        <v>1720118.577450196</v>
      </c>
      <c r="AL26">
        <f t="shared" ca="1" si="8"/>
        <v>0</v>
      </c>
      <c r="AM26" s="104"/>
      <c r="AN26" s="7">
        <f t="shared" ca="1" si="9"/>
        <v>828325.97890222759</v>
      </c>
    </row>
    <row r="27" spans="1:44" ht="15" thickBot="1" x14ac:dyDescent="0.4">
      <c r="A27">
        <f t="shared" si="20"/>
        <v>2050</v>
      </c>
      <c r="B27">
        <f t="shared" si="16"/>
        <v>89</v>
      </c>
      <c r="C27" s="7">
        <f t="shared" ca="1" si="10"/>
        <v>1807991.4689628272</v>
      </c>
      <c r="D27" s="7">
        <f t="shared" ca="1" si="17"/>
        <v>76356.821251908972</v>
      </c>
      <c r="E27" s="68">
        <f t="shared" ca="1" si="0"/>
        <v>4.2232954393148683E-2</v>
      </c>
      <c r="F27" s="74">
        <f t="shared" ca="1" si="1"/>
        <v>76356.821251908972</v>
      </c>
      <c r="G27" s="68">
        <f t="shared" ca="1" si="2"/>
        <v>4.2232954393148683E-2</v>
      </c>
      <c r="H27" s="7">
        <f t="shared" ca="1" si="3"/>
        <v>454320.65796506824</v>
      </c>
      <c r="I27" s="81">
        <f t="shared" ca="1" si="11"/>
        <v>2185955.3056759862</v>
      </c>
      <c r="J27" s="68">
        <f t="shared" ca="1" si="4"/>
        <v>4.2232954393148683E-2</v>
      </c>
      <c r="K27" s="76" t="str">
        <f t="shared" ca="1" si="5"/>
        <v/>
      </c>
      <c r="L27" s="75"/>
      <c r="M27" s="78"/>
      <c r="N27" s="67">
        <f t="shared" ca="1" si="6"/>
        <v>9.7017445574910294E-2</v>
      </c>
      <c r="O27" s="67">
        <f t="shared" ca="1" si="7"/>
        <v>0.25128473544495977</v>
      </c>
      <c r="P27" s="79"/>
      <c r="Q27" s="7">
        <f t="shared" ca="1" si="12"/>
        <v>3195052.3608277547</v>
      </c>
      <c r="X27" s="7">
        <f t="shared" ca="1" si="13"/>
        <v>-1009097.0551517685</v>
      </c>
      <c r="Y27" s="104"/>
      <c r="Z27" s="7">
        <f t="shared" ca="1" si="18"/>
        <v>33517.930981685895</v>
      </c>
      <c r="AE27" s="104"/>
      <c r="AF27" s="262" t="s">
        <v>70</v>
      </c>
      <c r="AG27" s="83">
        <f ca="1">NOW()</f>
        <v>46066.952543171297</v>
      </c>
      <c r="AI27" s="115">
        <f t="shared" ca="1" si="19"/>
        <v>2.2780887428173933</v>
      </c>
      <c r="AJ27" s="7">
        <f t="shared" ca="1" si="14"/>
        <v>569522.18570434791</v>
      </c>
      <c r="AK27" s="7">
        <f t="shared" ca="1" si="15"/>
        <v>1973879.5057783797</v>
      </c>
      <c r="AL27">
        <f t="shared" ca="1" si="8"/>
        <v>0</v>
      </c>
      <c r="AM27" s="104"/>
      <c r="AN27" s="7">
        <f t="shared" ca="1" si="9"/>
        <v>866462.9558448249</v>
      </c>
    </row>
    <row r="28" spans="1:44" x14ac:dyDescent="0.35">
      <c r="A28">
        <f t="shared" si="20"/>
        <v>2051</v>
      </c>
      <c r="B28">
        <f t="shared" si="16"/>
        <v>90</v>
      </c>
      <c r="C28" s="7">
        <f t="shared" ca="1" si="10"/>
        <v>2185955.3056759862</v>
      </c>
      <c r="D28" s="7">
        <f t="shared" ca="1" si="17"/>
        <v>83764.765001989203</v>
      </c>
      <c r="E28" s="68">
        <f t="shared" ca="1" si="0"/>
        <v>3.8319523178030272E-2</v>
      </c>
      <c r="F28" s="74">
        <f t="shared" ca="1" si="1"/>
        <v>83764.765001989203</v>
      </c>
      <c r="G28" s="68">
        <f t="shared" ca="1" si="2"/>
        <v>3.8319523178030272E-2</v>
      </c>
      <c r="H28" s="7">
        <f t="shared" ca="1" si="3"/>
        <v>78099.152971051561</v>
      </c>
      <c r="I28" s="81">
        <f t="shared" ca="1" si="11"/>
        <v>2180289.6936450489</v>
      </c>
      <c r="J28" s="68">
        <f t="shared" ca="1" si="4"/>
        <v>3.8319523178030272E-2</v>
      </c>
      <c r="K28" s="76" t="str">
        <f t="shared" ca="1" si="5"/>
        <v/>
      </c>
      <c r="L28" s="75"/>
      <c r="M28" s="78"/>
      <c r="N28" s="67">
        <f t="shared" ca="1" si="6"/>
        <v>4.9968482561227746E-2</v>
      </c>
      <c r="O28" s="67">
        <f t="shared" ca="1" si="7"/>
        <v>3.5727698900458592E-2</v>
      </c>
      <c r="P28" s="79"/>
      <c r="Q28" s="7">
        <f t="shared" ca="1" si="12"/>
        <v>3505028.1793533498</v>
      </c>
      <c r="X28" s="7">
        <f t="shared" ca="1" si="13"/>
        <v>-1324738.485708301</v>
      </c>
      <c r="Y28" s="104"/>
      <c r="Z28" s="7">
        <f t="shared" ca="1" si="18"/>
        <v>35019.865488525291</v>
      </c>
      <c r="AE28" s="104"/>
      <c r="AF28" s="262"/>
      <c r="AI28" s="115">
        <f t="shared" ca="1" si="19"/>
        <v>2.3919213804357931</v>
      </c>
      <c r="AJ28" s="7">
        <f t="shared" ca="1" si="14"/>
        <v>597980.34510894783</v>
      </c>
      <c r="AK28" s="7">
        <f t="shared" ca="1" si="15"/>
        <v>2071343.9261097217</v>
      </c>
      <c r="AL28">
        <f t="shared" ca="1" si="8"/>
        <v>0</v>
      </c>
      <c r="AM28" s="104"/>
      <c r="AN28" s="7">
        <f t="shared" ca="1" si="9"/>
        <v>865974.92001695128</v>
      </c>
    </row>
    <row r="29" spans="1:44" x14ac:dyDescent="0.35">
      <c r="A29">
        <f t="shared" si="20"/>
        <v>2052</v>
      </c>
      <c r="B29">
        <f t="shared" si="16"/>
        <v>91</v>
      </c>
      <c r="C29" s="7">
        <f t="shared" ca="1" si="10"/>
        <v>2180289.6936450489</v>
      </c>
      <c r="D29" s="7">
        <f t="shared" ca="1" si="17"/>
        <v>87950.36320123644</v>
      </c>
      <c r="E29" s="68">
        <f t="shared" ca="1" si="0"/>
        <v>4.0338842795793521E-2</v>
      </c>
      <c r="F29" s="74">
        <f t="shared" ca="1" si="1"/>
        <v>87950.36320123644</v>
      </c>
      <c r="G29" s="68">
        <f t="shared" ca="1" si="2"/>
        <v>4.0338842795793521E-2</v>
      </c>
      <c r="H29" s="7">
        <f t="shared" ca="1" si="3"/>
        <v>390051.70667330897</v>
      </c>
      <c r="I29" s="81">
        <f t="shared" ca="1" si="11"/>
        <v>2482391.0371171217</v>
      </c>
      <c r="J29" s="68">
        <f t="shared" ca="1" si="4"/>
        <v>4.0338842795793521E-2</v>
      </c>
      <c r="K29" s="76" t="str">
        <f t="shared" ca="1" si="5"/>
        <v/>
      </c>
      <c r="L29" s="75"/>
      <c r="M29" s="78"/>
      <c r="N29" s="67">
        <f t="shared" ca="1" si="6"/>
        <v>2.3249403956853085E-2</v>
      </c>
      <c r="O29" s="67">
        <f t="shared" ca="1" si="7"/>
        <v>0.17889902787239859</v>
      </c>
      <c r="P29" s="79"/>
      <c r="Q29" s="7">
        <f t="shared" ca="1" si="12"/>
        <v>3680169.1188099794</v>
      </c>
      <c r="X29" s="7">
        <f t="shared" ca="1" si="13"/>
        <v>-1197778.0816928577</v>
      </c>
      <c r="Y29" s="104"/>
      <c r="Z29" s="7">
        <f t="shared" ca="1" si="18"/>
        <v>35934.303879678257</v>
      </c>
      <c r="AE29" s="104"/>
      <c r="AF29" s="73"/>
      <c r="AI29" s="115">
        <f t="shared" ca="1" si="19"/>
        <v>2.4475321268425785</v>
      </c>
      <c r="AJ29" s="7">
        <f t="shared" ca="1" si="14"/>
        <v>611883.03171064425</v>
      </c>
      <c r="AK29" s="7">
        <f t="shared" ca="1" si="15"/>
        <v>2424676.9251163146</v>
      </c>
      <c r="AL29">
        <f t="shared" ca="1" si="8"/>
        <v>0</v>
      </c>
      <c r="AM29" s="104"/>
      <c r="AN29" s="7">
        <f t="shared" ca="1" si="9"/>
        <v>990661.94005152932</v>
      </c>
    </row>
    <row r="30" spans="1:44" x14ac:dyDescent="0.35">
      <c r="A30">
        <f t="shared" si="20"/>
        <v>2053</v>
      </c>
      <c r="B30">
        <f t="shared" si="16"/>
        <v>92</v>
      </c>
      <c r="C30" s="7">
        <f t="shared" ca="1" si="10"/>
        <v>2482391.0371171217</v>
      </c>
      <c r="D30" s="7">
        <f t="shared" ca="1" si="17"/>
        <v>89995.15672345394</v>
      </c>
      <c r="E30" s="68">
        <f t="shared" ca="1" si="0"/>
        <v>3.6253416717121296E-2</v>
      </c>
      <c r="F30" s="74">
        <f t="shared" ca="1" si="1"/>
        <v>89995.15672345394</v>
      </c>
      <c r="G30" s="68">
        <f t="shared" ca="1" si="2"/>
        <v>3.6253416717121296E-2</v>
      </c>
      <c r="H30" s="7">
        <f t="shared" ca="1" si="3"/>
        <v>294740.36516379577</v>
      </c>
      <c r="I30" s="81">
        <f t="shared" ca="1" si="11"/>
        <v>2687136.2455574633</v>
      </c>
      <c r="J30" s="68">
        <f t="shared" ca="1" si="4"/>
        <v>3.6253416717121296E-2</v>
      </c>
      <c r="K30" s="76" t="str">
        <f t="shared" ca="1" si="5"/>
        <v/>
      </c>
      <c r="L30" s="75"/>
      <c r="M30" s="78"/>
      <c r="N30" s="67">
        <f t="shared" ca="1" si="6"/>
        <v>4.3082813535973923E-2</v>
      </c>
      <c r="O30" s="67">
        <f t="shared" ca="1" si="7"/>
        <v>0.11873244817467878</v>
      </c>
      <c r="P30" s="79"/>
      <c r="Q30" s="7">
        <f t="shared" ca="1" si="12"/>
        <v>3765730.8572827289</v>
      </c>
      <c r="X30" s="7">
        <f t="shared" ca="1" si="13"/>
        <v>-1078594.6117252656</v>
      </c>
      <c r="Y30" s="104"/>
      <c r="Z30" s="7">
        <f t="shared" ca="1" si="18"/>
        <v>35251.041000127734</v>
      </c>
      <c r="AE30" s="104"/>
      <c r="AI30" s="115">
        <f t="shared" ca="1" si="19"/>
        <v>2.552978697086643</v>
      </c>
      <c r="AJ30" s="7">
        <f t="shared" ca="1" si="14"/>
        <v>638244.67427166039</v>
      </c>
      <c r="AK30" s="7">
        <f t="shared" ca="1" si="15"/>
        <v>2571366.855744354</v>
      </c>
      <c r="AL30">
        <f t="shared" ca="1" si="8"/>
        <v>0</v>
      </c>
      <c r="AM30" s="104"/>
      <c r="AN30" s="7">
        <f t="shared" ca="1" si="9"/>
        <v>1007202.629100938</v>
      </c>
    </row>
    <row r="31" spans="1:44" x14ac:dyDescent="0.35">
      <c r="A31">
        <f t="shared" si="20"/>
        <v>2054</v>
      </c>
      <c r="B31">
        <f t="shared" si="16"/>
        <v>93</v>
      </c>
      <c r="C31" s="7">
        <f t="shared" ca="1" si="10"/>
        <v>2687136.2455574633</v>
      </c>
      <c r="D31" s="7">
        <f t="shared" ca="1" si="17"/>
        <v>93872.401279711266</v>
      </c>
      <c r="E31" s="68">
        <f t="shared" ca="1" si="0"/>
        <v>3.4933993925654799E-2</v>
      </c>
      <c r="F31" s="74">
        <f t="shared" ca="1" si="1"/>
        <v>93872.401279711266</v>
      </c>
      <c r="G31" s="68">
        <f t="shared" ca="1" si="2"/>
        <v>3.4933993925654799E-2</v>
      </c>
      <c r="H31" s="7">
        <f t="shared" ca="1" si="3"/>
        <v>-15096.045204755592</v>
      </c>
      <c r="I31" s="81">
        <f t="shared" ca="1" si="11"/>
        <v>2578167.7990729967</v>
      </c>
      <c r="J31" s="68">
        <f t="shared" ca="1" si="4"/>
        <v>3.4933993925654799E-2</v>
      </c>
      <c r="K31" s="76" t="str">
        <f t="shared" ca="1" si="5"/>
        <v/>
      </c>
      <c r="L31" s="75"/>
      <c r="M31" s="78"/>
      <c r="N31" s="67">
        <f t="shared" ca="1" si="6"/>
        <v>7.951557022385311E-2</v>
      </c>
      <c r="O31" s="67">
        <f t="shared" ca="1" si="7"/>
        <v>-5.6178934840811628E-3</v>
      </c>
      <c r="P31" s="79"/>
      <c r="Q31" s="7">
        <f t="shared" ca="1" si="12"/>
        <v>3927969.1376337041</v>
      </c>
      <c r="X31" s="7">
        <f t="shared" ca="1" si="13"/>
        <v>-1349801.3385607074</v>
      </c>
      <c r="Y31" s="104"/>
      <c r="Z31" s="7">
        <f t="shared" ca="1" si="18"/>
        <v>34061.347553199696</v>
      </c>
      <c r="AE31" s="104"/>
      <c r="AF31" s="7"/>
      <c r="AI31" s="115">
        <f t="shared" ca="1" si="19"/>
        <v>2.7559802539548368</v>
      </c>
      <c r="AJ31" s="7">
        <f t="shared" ca="1" si="14"/>
        <v>688995.06348870881</v>
      </c>
      <c r="AK31" s="7">
        <f t="shared" ca="1" si="15"/>
        <v>2373163.3163969312</v>
      </c>
      <c r="AL31">
        <f t="shared" ca="1" si="8"/>
        <v>0</v>
      </c>
      <c r="AM31" s="104"/>
      <c r="AN31" s="7">
        <f t="shared" ca="1" si="9"/>
        <v>861095.90697953559</v>
      </c>
      <c r="AQ31" s="252" t="s">
        <v>429</v>
      </c>
      <c r="AR31" s="253"/>
    </row>
    <row r="32" spans="1:44" x14ac:dyDescent="0.35">
      <c r="A32">
        <f t="shared" si="20"/>
        <v>2055</v>
      </c>
      <c r="B32">
        <f t="shared" si="16"/>
        <v>94</v>
      </c>
      <c r="C32" s="7">
        <f t="shared" ca="1" si="10"/>
        <v>2578167.7990729967</v>
      </c>
      <c r="D32" s="7">
        <f t="shared" ca="1" si="17"/>
        <v>93872.401279711266</v>
      </c>
      <c r="E32" s="68">
        <f t="shared" ca="1" si="0"/>
        <v>3.6410508778157859E-2</v>
      </c>
      <c r="F32" s="74">
        <f t="shared" ca="1" si="1"/>
        <v>93872.401279711266</v>
      </c>
      <c r="G32" s="68">
        <f t="shared" ca="1" si="2"/>
        <v>3.6410508778157859E-2</v>
      </c>
      <c r="H32" s="7">
        <f t="shared" ca="1" si="3"/>
        <v>132945.1069302113</v>
      </c>
      <c r="I32" s="228">
        <f t="shared" ca="1" si="11"/>
        <v>2617240.5047234967</v>
      </c>
      <c r="J32" s="68">
        <f t="shared" ca="1" si="4"/>
        <v>3.6410508778157859E-2</v>
      </c>
      <c r="K32" s="76" t="str">
        <f t="shared" ca="1" si="5"/>
        <v/>
      </c>
      <c r="L32" s="75"/>
      <c r="M32" s="75"/>
      <c r="N32" s="67">
        <f t="shared" ca="1" si="6"/>
        <v>1.8940599642275555E-2</v>
      </c>
      <c r="O32" s="67">
        <f t="shared" ca="1" si="7"/>
        <v>5.1565730895410652E-2</v>
      </c>
      <c r="P32" s="67"/>
      <c r="Q32" s="7">
        <f t="shared" ca="1" si="12"/>
        <v>4240303.843434344</v>
      </c>
      <c r="X32" s="7">
        <f t="shared" ca="1" si="13"/>
        <v>-1623063.3387108473</v>
      </c>
      <c r="Y32" s="104"/>
      <c r="Z32" s="7">
        <f t="shared" ca="1" si="18"/>
        <v>33428.197448563522</v>
      </c>
      <c r="AE32" s="104"/>
      <c r="AF32" s="7"/>
      <c r="AI32" s="115">
        <f t="shared" ca="1" si="19"/>
        <v>2.8081801725670124</v>
      </c>
      <c r="AJ32" s="7">
        <f t="shared" ca="1" si="14"/>
        <v>702045.04314175271</v>
      </c>
      <c r="AK32" s="7">
        <f t="shared" ca="1" si="15"/>
        <v>2567668.4001559815</v>
      </c>
      <c r="AL32">
        <f t="shared" ca="1" si="8"/>
        <v>0</v>
      </c>
      <c r="AN32" s="7">
        <f t="shared" ca="1" si="9"/>
        <v>914353.15484363155</v>
      </c>
      <c r="AQ32" s="254" t="s">
        <v>430</v>
      </c>
      <c r="AR32" s="255"/>
    </row>
    <row r="33" spans="1:44" s="93" customFormat="1" x14ac:dyDescent="0.35">
      <c r="A33" s="93">
        <f t="shared" si="20"/>
        <v>2056</v>
      </c>
      <c r="B33" s="93">
        <f t="shared" si="16"/>
        <v>95</v>
      </c>
      <c r="C33" s="94">
        <f t="shared" ca="1" si="10"/>
        <v>2617240.5047234967</v>
      </c>
      <c r="D33" s="94">
        <f t="shared" ca="1" si="17"/>
        <v>95650.400849809317</v>
      </c>
      <c r="E33" s="168">
        <f t="shared" ca="1" si="0"/>
        <v>3.6546278676790722E-2</v>
      </c>
      <c r="F33" s="74">
        <f t="shared" ca="1" si="1"/>
        <v>95650.400849809317</v>
      </c>
      <c r="G33" s="168">
        <f t="shared" ca="1" si="2"/>
        <v>3.6546278676790722E-2</v>
      </c>
      <c r="H33" s="94">
        <f t="shared" ca="1" si="3"/>
        <v>-404793.87038633908</v>
      </c>
      <c r="I33" s="94">
        <f t="shared" ca="1" si="11"/>
        <v>2116796.2334873481</v>
      </c>
      <c r="J33" s="168">
        <f t="shared" ca="1" si="4"/>
        <v>3.6546278676790722E-2</v>
      </c>
      <c r="K33" s="169" t="str">
        <f t="shared" ca="1" si="5"/>
        <v/>
      </c>
      <c r="L33" s="170"/>
      <c r="M33" s="170"/>
      <c r="N33" s="95">
        <f t="shared" ca="1" si="6"/>
        <v>4.2844569770786566E-2</v>
      </c>
      <c r="O33" s="95">
        <f t="shared" ca="1" si="7"/>
        <v>-0.15466437633674948</v>
      </c>
      <c r="P33" s="95"/>
      <c r="Q33" s="94">
        <f t="shared" ca="1" si="12"/>
        <v>4320617.7408944359</v>
      </c>
      <c r="X33" s="94">
        <f t="shared" ca="1" si="13"/>
        <v>-2203821.5074070878</v>
      </c>
      <c r="Z33" s="94">
        <f t="shared" ca="1" si="18"/>
        <v>32661.959932040743</v>
      </c>
      <c r="AI33" s="171">
        <f t="shared" ca="1" si="19"/>
        <v>2.9284954438994992</v>
      </c>
      <c r="AJ33" s="94">
        <f t="shared" ca="1" si="14"/>
        <v>732123.86097487446</v>
      </c>
      <c r="AK33" s="94">
        <f t="shared" ca="1" si="15"/>
        <v>2026103.0095711611</v>
      </c>
      <c r="AL33" s="93">
        <f t="shared" ca="1" si="8"/>
        <v>0</v>
      </c>
      <c r="AN33" s="172">
        <f t="shared" ca="1" si="9"/>
        <v>691858.00298642821</v>
      </c>
      <c r="AQ33" s="256" t="s">
        <v>431</v>
      </c>
      <c r="AR33" s="112"/>
    </row>
    <row r="34" spans="1:44" x14ac:dyDescent="0.35">
      <c r="A34">
        <f t="shared" si="20"/>
        <v>2057</v>
      </c>
      <c r="B34">
        <f t="shared" si="16"/>
        <v>96</v>
      </c>
      <c r="C34" s="7">
        <f t="shared" ca="1" si="10"/>
        <v>2116796.2334873481</v>
      </c>
      <c r="D34" s="7">
        <f t="shared" ca="1" si="17"/>
        <v>95650.400849809317</v>
      </c>
      <c r="E34" s="68">
        <f t="shared" ca="1" si="0"/>
        <v>4.5186399775583787E-2</v>
      </c>
      <c r="F34" s="74">
        <f t="shared" ca="1" si="1"/>
        <v>95650.400849809317</v>
      </c>
      <c r="G34" s="68">
        <f t="shared" ca="1" si="2"/>
        <v>4.5186399775583787E-2</v>
      </c>
      <c r="H34" s="7">
        <f t="shared" ca="1" si="3"/>
        <v>276521.82105180435</v>
      </c>
      <c r="I34" s="228">
        <f t="shared" ca="1" si="11"/>
        <v>2297667.653689343</v>
      </c>
      <c r="J34" s="68">
        <f t="shared" ca="1" si="4"/>
        <v>4.5186399775583787E-2</v>
      </c>
      <c r="K34" s="76" t="str">
        <f t="shared" ca="1" si="5"/>
        <v/>
      </c>
      <c r="L34" s="75"/>
      <c r="M34" s="75"/>
      <c r="N34" s="67">
        <f t="shared" ca="1" si="6"/>
        <v>2.6572199464844869E-2</v>
      </c>
      <c r="O34" s="67">
        <f t="shared" ca="1" si="7"/>
        <v>0.13063223407018459</v>
      </c>
      <c r="P34" s="67"/>
      <c r="Q34" s="7">
        <f t="shared" ca="1" si="12"/>
        <v>4505732.7491470864</v>
      </c>
      <c r="X34" s="7">
        <f t="shared" ca="1" si="13"/>
        <v>-2208065.0954577434</v>
      </c>
      <c r="Y34" s="104"/>
      <c r="Z34" s="7">
        <f t="shared" ca="1" si="18"/>
        <v>31816.524886479019</v>
      </c>
      <c r="AE34" s="104"/>
      <c r="AF34" t="s">
        <v>132</v>
      </c>
      <c r="AG34" s="7">
        <f ca="1">IF(force_recalc,IF(AN33&lt;AG34,AN33,AG34),9999999999)</f>
        <v>50884.036461101365</v>
      </c>
      <c r="AI34" s="115">
        <f t="shared" ca="1" si="19"/>
        <v>3.0063120089666864</v>
      </c>
      <c r="AJ34" s="7">
        <f t="shared" ca="1" si="14"/>
        <v>751578.0022416712</v>
      </c>
      <c r="AK34" s="7">
        <f t="shared" ca="1" si="15"/>
        <v>2236613.5704915877</v>
      </c>
      <c r="AL34">
        <f t="shared" ca="1" si="8"/>
        <v>0</v>
      </c>
      <c r="AN34" s="7">
        <f t="shared" ca="1" si="9"/>
        <v>743972.53639030794</v>
      </c>
    </row>
    <row r="35" spans="1:44" x14ac:dyDescent="0.35">
      <c r="A35">
        <f t="shared" si="20"/>
        <v>2058</v>
      </c>
      <c r="B35">
        <f t="shared" si="16"/>
        <v>97</v>
      </c>
      <c r="C35" s="7">
        <f t="shared" ca="1" si="10"/>
        <v>2297667.653689343</v>
      </c>
      <c r="D35" s="7">
        <f t="shared" ca="1" si="17"/>
        <v>98192.042380082814</v>
      </c>
      <c r="E35" s="68">
        <f t="shared" ca="1" si="0"/>
        <v>4.2735528884004087E-2</v>
      </c>
      <c r="F35" s="74">
        <f t="shared" ca="1" si="1"/>
        <v>98192.042380082814</v>
      </c>
      <c r="G35" s="68">
        <f t="shared" ca="1" si="2"/>
        <v>4.2735528884004087E-2</v>
      </c>
      <c r="H35" s="7">
        <f t="shared" ca="1" si="3"/>
        <v>368990.75575266912</v>
      </c>
      <c r="I35" s="81">
        <f t="shared" ca="1" si="11"/>
        <v>2568466.3670619293</v>
      </c>
      <c r="J35" s="68">
        <f t="shared" ca="1" si="4"/>
        <v>4.2735528884004087E-2</v>
      </c>
      <c r="K35" s="76" t="str">
        <f t="shared" ca="1" si="5"/>
        <v/>
      </c>
      <c r="L35" s="75"/>
      <c r="M35" s="78"/>
      <c r="N35" s="67">
        <f t="shared" ca="1" si="6"/>
        <v>3.2461824041398357E-2</v>
      </c>
      <c r="O35" s="67">
        <f t="shared" ca="1" si="7"/>
        <v>0.16059361551275014</v>
      </c>
      <c r="P35" s="79"/>
      <c r="Q35" s="7">
        <f t="shared" ca="1" si="12"/>
        <v>4625459.978492707</v>
      </c>
      <c r="X35" s="7">
        <f t="shared" ca="1" si="13"/>
        <v>-2056993.6114307777</v>
      </c>
      <c r="Y35" s="104"/>
      <c r="Z35" s="7">
        <f t="shared" ca="1" si="18"/>
        <v>31635.029181215617</v>
      </c>
      <c r="AE35" s="104"/>
      <c r="AI35" s="115">
        <f t="shared" ca="1" si="19"/>
        <v>3.1039023804153056</v>
      </c>
      <c r="AJ35" s="7">
        <f t="shared" ca="1" si="14"/>
        <v>775975.59510382602</v>
      </c>
      <c r="AK35" s="7">
        <f t="shared" ca="1" si="15"/>
        <v>2485089.2637981153</v>
      </c>
      <c r="AL35">
        <f t="shared" ca="1" si="8"/>
        <v>0</v>
      </c>
      <c r="AM35" s="104"/>
      <c r="AN35" s="7">
        <f t="shared" ca="1" si="9"/>
        <v>800633.83419474924</v>
      </c>
    </row>
    <row r="36" spans="1:44" x14ac:dyDescent="0.35">
      <c r="A36">
        <f t="shared" si="20"/>
        <v>2059</v>
      </c>
      <c r="B36">
        <f t="shared" si="16"/>
        <v>98</v>
      </c>
      <c r="C36" s="7">
        <f t="shared" ca="1" si="10"/>
        <v>2568466.3670619293</v>
      </c>
      <c r="D36" s="7">
        <f t="shared" ca="1" si="17"/>
        <v>101379.53518209059</v>
      </c>
      <c r="E36" s="68">
        <f t="shared" ca="1" si="0"/>
        <v>3.9470843956605405E-2</v>
      </c>
      <c r="F36" s="74">
        <f t="shared" ca="1" si="1"/>
        <v>101379.53518209059</v>
      </c>
      <c r="G36" s="68">
        <f t="shared" ca="1" si="2"/>
        <v>3.9470843956605405E-2</v>
      </c>
      <c r="H36" s="7">
        <f t="shared" ca="1" si="3"/>
        <v>42884.760251768937</v>
      </c>
      <c r="I36" s="81">
        <f t="shared" ca="1" si="11"/>
        <v>2509971.5921316077</v>
      </c>
      <c r="J36" s="68">
        <f t="shared" ca="1" si="4"/>
        <v>3.9470843956605405E-2</v>
      </c>
      <c r="K36" s="76" t="str">
        <f t="shared" ca="1" si="5"/>
        <v/>
      </c>
      <c r="L36" s="75"/>
      <c r="M36" s="78"/>
      <c r="N36" s="67">
        <f t="shared" ca="1" si="6"/>
        <v>3.7354703236084363E-2</v>
      </c>
      <c r="O36" s="67">
        <f t="shared" ca="1" si="7"/>
        <v>1.669664076653838E-2</v>
      </c>
      <c r="P36" s="79"/>
      <c r="Q36" s="7">
        <f t="shared" ca="1" si="12"/>
        <v>4775610.8464250676</v>
      </c>
      <c r="X36" s="7">
        <f t="shared" ca="1" si="13"/>
        <v>-2265639.2542934599</v>
      </c>
      <c r="Y36" s="104"/>
      <c r="Z36" s="7">
        <f t="shared" ca="1" si="18"/>
        <v>31485.81659691712</v>
      </c>
      <c r="AE36" s="104"/>
      <c r="AF36" s="227" t="s">
        <v>212</v>
      </c>
      <c r="AG36" s="222">
        <v>9.4399999999999998E-2</v>
      </c>
      <c r="AI36" s="115">
        <f t="shared" ca="1" si="19"/>
        <v>3.2198477327094954</v>
      </c>
      <c r="AJ36" s="7">
        <f t="shared" ca="1" si="14"/>
        <v>804961.93317737337</v>
      </c>
      <c r="AK36" s="7">
        <f t="shared" ca="1" si="15"/>
        <v>2416212.3481765292</v>
      </c>
      <c r="AL36">
        <f t="shared" ca="1" si="8"/>
        <v>0</v>
      </c>
      <c r="AM36" s="104"/>
      <c r="AN36" s="7">
        <f t="shared" ca="1" si="9"/>
        <v>750411.99111092475</v>
      </c>
    </row>
    <row r="37" spans="1:44" x14ac:dyDescent="0.35">
      <c r="A37">
        <f t="shared" si="20"/>
        <v>2060</v>
      </c>
      <c r="B37">
        <f t="shared" si="16"/>
        <v>99</v>
      </c>
      <c r="C37" s="7">
        <f t="shared" ca="1" si="10"/>
        <v>2509971.5921316077</v>
      </c>
      <c r="D37" s="7">
        <f t="shared" ca="1" si="17"/>
        <v>105166.53763302976</v>
      </c>
      <c r="E37" s="68">
        <f t="shared" ca="1" si="0"/>
        <v>4.1899493190564949E-2</v>
      </c>
      <c r="F37" s="74">
        <f t="shared" ca="1" si="1"/>
        <v>105166.53763302976</v>
      </c>
      <c r="G37" s="68">
        <f t="shared" ca="1" si="2"/>
        <v>4.1899493190564949E-2</v>
      </c>
      <c r="H37" s="7">
        <f t="shared" ca="1" si="3"/>
        <v>418101.58643220959</v>
      </c>
      <c r="I37" s="81">
        <f t="shared" ca="1" si="11"/>
        <v>2822906.6409307877</v>
      </c>
      <c r="J37" s="68">
        <f t="shared" ca="1" si="4"/>
        <v>4.1899493190564949E-2</v>
      </c>
      <c r="K37" s="76" t="str">
        <f t="shared" ca="1" si="5"/>
        <v/>
      </c>
      <c r="L37" s="75"/>
      <c r="M37" s="78"/>
      <c r="N37" s="67">
        <f t="shared" ca="1" si="6"/>
        <v>7.3305107639634631E-2</v>
      </c>
      <c r="O37" s="67">
        <f t="shared" ca="1" si="7"/>
        <v>0.16657622251299442</v>
      </c>
      <c r="P37" s="79"/>
      <c r="Q37" s="7">
        <f t="shared" ca="1" si="12"/>
        <v>4954002.3723643012</v>
      </c>
      <c r="X37" s="7">
        <f t="shared" ca="1" si="13"/>
        <v>-2131095.7314335136</v>
      </c>
      <c r="Y37" s="104"/>
      <c r="Z37" s="7">
        <f t="shared" ca="1" si="18"/>
        <v>30431.197708421871</v>
      </c>
      <c r="AE37" s="104"/>
      <c r="AF37" s="227" t="s">
        <v>399</v>
      </c>
      <c r="AG37" s="222">
        <v>6.7000000000000004E-2</v>
      </c>
      <c r="AI37" s="115">
        <f t="shared" ca="1" si="19"/>
        <v>3.4558790173389986</v>
      </c>
      <c r="AJ37" s="7">
        <f t="shared" ca="1" si="14"/>
        <v>863969.75433474919</v>
      </c>
      <c r="AK37" s="7">
        <f t="shared" ca="1" si="15"/>
        <v>2615973.1657607169</v>
      </c>
      <c r="AL37">
        <f t="shared" ca="1" si="8"/>
        <v>0</v>
      </c>
      <c r="AM37" s="104"/>
      <c r="AN37" s="7">
        <f t="shared" ca="1" si="9"/>
        <v>756963.17858227482</v>
      </c>
    </row>
    <row r="38" spans="1:44" ht="15" thickBot="1" x14ac:dyDescent="0.4">
      <c r="A38">
        <f t="shared" si="20"/>
        <v>2061</v>
      </c>
      <c r="B38">
        <f t="shared" si="16"/>
        <v>100</v>
      </c>
      <c r="C38" s="7">
        <f t="shared" ca="1" si="10"/>
        <v>2822906.6409307877</v>
      </c>
      <c r="D38" s="7">
        <f t="shared" ca="1" si="17"/>
        <v>112875.7819943067</v>
      </c>
      <c r="E38" s="68">
        <f t="shared" ca="1" si="0"/>
        <v>3.998565887998639E-2</v>
      </c>
      <c r="F38" s="74">
        <f t="shared" ca="1" si="1"/>
        <v>112875.7819943067</v>
      </c>
      <c r="G38" s="68">
        <f t="shared" ca="1" si="2"/>
        <v>3.998565887998639E-2</v>
      </c>
      <c r="H38" s="7">
        <f t="shared" ca="1" si="3"/>
        <v>664245.84590832202</v>
      </c>
      <c r="I38" s="81">
        <f t="shared" ca="1" si="11"/>
        <v>3374276.7048448031</v>
      </c>
      <c r="J38" s="68">
        <f t="shared" ca="1" si="4"/>
        <v>3.998565887998639E-2</v>
      </c>
      <c r="K38" s="76" t="str">
        <f t="shared" ca="1" si="5"/>
        <v/>
      </c>
      <c r="L38" s="75"/>
      <c r="M38" s="78"/>
      <c r="N38" s="67">
        <f t="shared" ca="1" si="6"/>
        <v>-5.0018332462756498E-3</v>
      </c>
      <c r="O38" s="67">
        <f t="shared" ca="1" si="7"/>
        <v>0.2353056372028309</v>
      </c>
      <c r="P38" s="79"/>
      <c r="Q38" s="7">
        <f t="shared" ca="1" si="12"/>
        <v>5317156.0495174723</v>
      </c>
      <c r="X38" s="7">
        <f t="shared" ca="1" si="13"/>
        <v>-1942879.3446726692</v>
      </c>
      <c r="Y38" s="104"/>
      <c r="Z38" s="7">
        <f t="shared" ca="1" si="18"/>
        <v>32826.150864783478</v>
      </c>
      <c r="AE38" s="104"/>
      <c r="AI38" s="115">
        <f t="shared" ca="1" si="19"/>
        <v>3.438593286774966</v>
      </c>
      <c r="AJ38" s="7">
        <f t="shared" ca="1" si="14"/>
        <v>859648.32169374102</v>
      </c>
      <c r="AK38" s="7">
        <f t="shared" ca="1" si="15"/>
        <v>3391154.2742492291</v>
      </c>
      <c r="AL38">
        <f t="shared" ca="1" si="8"/>
        <v>0</v>
      </c>
      <c r="AM38" s="104"/>
      <c r="AN38" s="7">
        <f t="shared" ca="1" si="9"/>
        <v>986203.94778638403</v>
      </c>
    </row>
    <row r="39" spans="1:44" ht="15" thickBot="1" x14ac:dyDescent="0.4">
      <c r="A39">
        <f t="shared" si="20"/>
        <v>2062</v>
      </c>
      <c r="B39">
        <f t="shared" si="16"/>
        <v>101</v>
      </c>
      <c r="C39" s="7">
        <f t="shared" ca="1" si="10"/>
        <v>3374276.7048448031</v>
      </c>
      <c r="D39" s="7">
        <f t="shared" ca="1" si="17"/>
        <v>112311.19615522822</v>
      </c>
      <c r="E39" s="68">
        <f t="shared" ca="1" si="0"/>
        <v>3.3284524649081458E-2</v>
      </c>
      <c r="F39" s="74">
        <f t="shared" ca="1" si="1"/>
        <v>112311.19615522822</v>
      </c>
      <c r="G39" s="68">
        <f t="shared" ca="1" si="2"/>
        <v>3.3284524649081458E-2</v>
      </c>
      <c r="H39" s="7">
        <f t="shared" ca="1" si="3"/>
        <v>658407.16353793431</v>
      </c>
      <c r="I39" s="81">
        <f t="shared" ca="1" si="11"/>
        <v>3920372.6722275093</v>
      </c>
      <c r="J39" s="68">
        <f t="shared" ca="1" si="4"/>
        <v>3.3284524649081458E-2</v>
      </c>
      <c r="K39" s="76" t="str">
        <f t="shared" ca="1" si="5"/>
        <v/>
      </c>
      <c r="L39" s="75"/>
      <c r="M39" s="78"/>
      <c r="N39" s="67">
        <f t="shared" ca="1" si="6"/>
        <v>4.9508481901046612E-2</v>
      </c>
      <c r="O39" s="67">
        <f t="shared" ca="1" si="7"/>
        <v>0.19512542127697768</v>
      </c>
      <c r="P39" s="79"/>
      <c r="Q39" s="7">
        <f t="shared" ca="1" si="12"/>
        <v>5290560.5216133604</v>
      </c>
      <c r="X39" s="7">
        <f t="shared" ca="1" si="13"/>
        <v>-1370187.8493858511</v>
      </c>
      <c r="Y39" s="104"/>
      <c r="Z39" s="7">
        <f t="shared" ca="1" si="18"/>
        <v>31121.196727136401</v>
      </c>
      <c r="AE39" s="104"/>
      <c r="AF39" s="98" t="s">
        <v>193</v>
      </c>
      <c r="AG39" s="82">
        <v>250000</v>
      </c>
      <c r="AI39" s="115">
        <f t="shared" ca="1" si="19"/>
        <v>3.6088328202783244</v>
      </c>
      <c r="AJ39" s="7">
        <f t="shared" ca="1" si="14"/>
        <v>902208.20506958058</v>
      </c>
      <c r="AK39" s="7">
        <f t="shared" ca="1" si="15"/>
        <v>3726280.9727391759</v>
      </c>
      <c r="AL39">
        <f t="shared" ca="1" si="8"/>
        <v>0</v>
      </c>
      <c r="AM39" s="104"/>
      <c r="AN39" s="7">
        <f t="shared" ca="1" si="9"/>
        <v>1032544.636537581</v>
      </c>
    </row>
    <row r="40" spans="1:44" x14ac:dyDescent="0.35">
      <c r="A40">
        <f t="shared" si="20"/>
        <v>2063</v>
      </c>
      <c r="B40">
        <f t="shared" si="16"/>
        <v>102</v>
      </c>
      <c r="C40" s="7">
        <f t="shared" ca="1" si="10"/>
        <v>3920372.6722275093</v>
      </c>
      <c r="D40" s="7">
        <f t="shared" ca="1" si="17"/>
        <v>117871.55297736422</v>
      </c>
      <c r="E40" s="68">
        <f t="shared" ca="1" si="0"/>
        <v>3.0066415321273781E-2</v>
      </c>
      <c r="F40" s="74">
        <f t="shared" ca="1" si="1"/>
        <v>129658.70827510065</v>
      </c>
      <c r="G40" s="68">
        <f t="shared" ca="1" si="2"/>
        <v>3.3073056853401159E-2</v>
      </c>
      <c r="H40" s="7">
        <f t="shared" ca="1" si="3"/>
        <v>144571.56902701411</v>
      </c>
      <c r="I40" s="81">
        <f t="shared" ca="1" si="11"/>
        <v>3935285.5329794227</v>
      </c>
      <c r="J40" s="68">
        <f t="shared" ca="1" si="4"/>
        <v>3.0066415321273781E-2</v>
      </c>
      <c r="K40" s="76">
        <f t="shared" ca="1" si="5"/>
        <v>0</v>
      </c>
      <c r="L40" s="75"/>
      <c r="M40" s="78"/>
      <c r="N40" s="67">
        <f t="shared" ca="1" si="6"/>
        <v>1.524363788724746E-3</v>
      </c>
      <c r="O40" s="67">
        <f t="shared" ca="1" si="7"/>
        <v>3.687699642719687E-2</v>
      </c>
      <c r="P40" s="79"/>
      <c r="Q40" s="7">
        <f t="shared" ca="1" si="12"/>
        <v>5552488.141444047</v>
      </c>
      <c r="X40" s="7">
        <f t="shared" ca="1" si="13"/>
        <v>-1617202.6084646243</v>
      </c>
      <c r="Y40" s="104"/>
      <c r="Z40" s="7">
        <f t="shared" ca="1" si="18"/>
        <v>35873.471704003394</v>
      </c>
      <c r="AE40" s="104"/>
      <c r="AI40" s="115">
        <f t="shared" ca="1" si="19"/>
        <v>3.6143339943491184</v>
      </c>
      <c r="AJ40" s="7">
        <f t="shared" ca="1" si="14"/>
        <v>903583.498587279</v>
      </c>
      <c r="AK40" s="7">
        <f t="shared" ca="1" si="15"/>
        <v>3929286.7262146566</v>
      </c>
      <c r="AL40">
        <f t="shared" ca="1" si="8"/>
        <v>0</v>
      </c>
      <c r="AM40" s="104"/>
      <c r="AN40" s="7">
        <f ca="1">AK40/AI40</f>
        <v>1087139.9080322837</v>
      </c>
    </row>
    <row r="41" spans="1:44" x14ac:dyDescent="0.35">
      <c r="AO41" s="3"/>
    </row>
    <row r="42" spans="1:44" ht="14.5" customHeight="1" x14ac:dyDescent="0.35">
      <c r="D42" t="s">
        <v>82</v>
      </c>
      <c r="E42" s="69">
        <f ca="1">AVERAGE(E3:E40)</f>
        <v>4.1461132116354181E-2</v>
      </c>
      <c r="G42" s="69">
        <f ca="1">AVERAGE(G3:G40)</f>
        <v>4.0518053263484712E-2</v>
      </c>
      <c r="J42" s="69">
        <f ca="1">AVERAGE(J3:J40)</f>
        <v>4.091540615386495E-2</v>
      </c>
      <c r="K42" s="77">
        <f ca="1">SUM(K3:K40)</f>
        <v>5</v>
      </c>
      <c r="L42" s="69"/>
      <c r="M42" s="69"/>
      <c r="N42" s="68">
        <f ca="1">AVERAGE(N3:N40)</f>
        <v>3.4694158930476941E-2</v>
      </c>
      <c r="O42" s="68">
        <f ca="1">AVERAGE(O3:O40)</f>
        <v>7.1355629130225334E-2</v>
      </c>
      <c r="P42" s="68"/>
      <c r="Y42" s="68" t="s">
        <v>420</v>
      </c>
      <c r="Z42" s="68"/>
      <c r="AJ42" s="261" t="s">
        <v>85</v>
      </c>
      <c r="AK42" s="261"/>
      <c r="AL42">
        <f ca="1">SUM(AL3:AL40)</f>
        <v>0</v>
      </c>
    </row>
    <row r="43" spans="1:44" x14ac:dyDescent="0.35">
      <c r="D43" s="1"/>
      <c r="J43" s="69"/>
      <c r="K43" s="69"/>
      <c r="N43" s="68">
        <f ca="1">$Z$83/$AG$22</f>
        <v>3.7901766435226546E-2</v>
      </c>
      <c r="O43" s="68">
        <f ca="1">$Z$82/$AG$22</f>
        <v>6.6964039263040023E-2</v>
      </c>
      <c r="Y43" t="s">
        <v>434</v>
      </c>
      <c r="AJ43" s="4"/>
      <c r="AK43" t="s">
        <v>236</v>
      </c>
      <c r="AN43" s="7">
        <f ca="1">MIN(AN3:AN40)</f>
        <v>650645.25035552424</v>
      </c>
    </row>
    <row r="44" spans="1:44" ht="14.5" customHeight="1" x14ac:dyDescent="0.35">
      <c r="E44" s="7"/>
      <c r="K44" s="77"/>
      <c r="AF44" s="71"/>
      <c r="AJ44" s="4" t="s">
        <v>236</v>
      </c>
    </row>
    <row r="45" spans="1:44" x14ac:dyDescent="0.35">
      <c r="D45" t="s">
        <v>403</v>
      </c>
      <c r="X45" s="263" t="s">
        <v>131</v>
      </c>
      <c r="AF45" s="72"/>
      <c r="AJ45" s="4"/>
    </row>
    <row r="46" spans="1:44" x14ac:dyDescent="0.35">
      <c r="E46" t="s">
        <v>96</v>
      </c>
      <c r="F46" t="s">
        <v>175</v>
      </c>
      <c r="G46" t="s">
        <v>176</v>
      </c>
      <c r="H46" t="s">
        <v>177</v>
      </c>
      <c r="I46" t="s">
        <v>432</v>
      </c>
      <c r="K46" t="s">
        <v>433</v>
      </c>
      <c r="N46" t="s">
        <v>409</v>
      </c>
      <c r="X46" s="263"/>
    </row>
    <row r="47" spans="1:44" x14ac:dyDescent="0.35">
      <c r="D47" t="s">
        <v>214</v>
      </c>
      <c r="E47" s="1" t="s">
        <v>438</v>
      </c>
      <c r="X47" s="263"/>
    </row>
    <row r="48" spans="1:44" x14ac:dyDescent="0.35">
      <c r="D48" t="s">
        <v>95</v>
      </c>
      <c r="E48" s="68">
        <v>0.05</v>
      </c>
      <c r="F48" s="3">
        <v>25.4</v>
      </c>
      <c r="G48" s="3">
        <v>39.4</v>
      </c>
      <c r="H48" s="3">
        <v>59.9</v>
      </c>
      <c r="I48" s="3">
        <v>85</v>
      </c>
      <c r="J48" s="3"/>
      <c r="K48" s="3">
        <v>98.2</v>
      </c>
      <c r="L48" s="3"/>
      <c r="N48" s="260">
        <f>0.05*C$3</f>
        <v>76929.140499999994</v>
      </c>
      <c r="X48" s="263"/>
      <c r="AA48" s="7"/>
    </row>
    <row r="49" spans="4:40" x14ac:dyDescent="0.35">
      <c r="D49" t="s">
        <v>95</v>
      </c>
      <c r="E49" s="233">
        <v>4.7E-2</v>
      </c>
      <c r="F49" s="234">
        <v>30.2</v>
      </c>
      <c r="G49" s="234">
        <v>45.5</v>
      </c>
      <c r="H49" s="234">
        <v>66.400000000000006</v>
      </c>
      <c r="I49" s="234">
        <v>88.6</v>
      </c>
      <c r="J49" s="234"/>
      <c r="K49" s="234">
        <v>99</v>
      </c>
      <c r="L49" s="234"/>
      <c r="N49" s="260">
        <f>0.047*C$3</f>
        <v>72313.392069999987</v>
      </c>
      <c r="S49" s="7"/>
      <c r="X49" s="263"/>
      <c r="AA49" s="7"/>
    </row>
    <row r="50" spans="4:40" x14ac:dyDescent="0.35">
      <c r="D50" t="s">
        <v>95</v>
      </c>
      <c r="E50" s="68">
        <v>4.4999999999999998E-2</v>
      </c>
      <c r="F50" s="3">
        <v>33.9</v>
      </c>
      <c r="G50" s="3">
        <v>49.5</v>
      </c>
      <c r="H50" s="3">
        <v>69.900000000000006</v>
      </c>
      <c r="I50" s="3">
        <v>90.7</v>
      </c>
      <c r="J50" s="3"/>
      <c r="K50" s="3">
        <v>99.4</v>
      </c>
      <c r="L50" s="3"/>
      <c r="N50" s="260">
        <f>0.045*C$3</f>
        <v>69236.226449999987</v>
      </c>
    </row>
    <row r="51" spans="4:40" x14ac:dyDescent="0.35">
      <c r="D51" t="s">
        <v>95</v>
      </c>
      <c r="E51" s="68">
        <v>4.2500000000000003E-2</v>
      </c>
      <c r="F51" s="3">
        <v>38.799999999999997</v>
      </c>
      <c r="G51" s="3">
        <v>55.4</v>
      </c>
      <c r="H51" s="3">
        <v>74.599999999999994</v>
      </c>
      <c r="I51" s="3">
        <v>93.3</v>
      </c>
      <c r="J51" s="3"/>
      <c r="K51" s="3">
        <v>99.8</v>
      </c>
      <c r="L51" s="3"/>
      <c r="N51" s="260">
        <f>0.0425*C$3</f>
        <v>65389.769424999999</v>
      </c>
    </row>
    <row r="52" spans="4:40" x14ac:dyDescent="0.35">
      <c r="D52" t="s">
        <v>95</v>
      </c>
      <c r="E52" s="258">
        <v>4.1250000000000002E-2</v>
      </c>
      <c r="F52" s="3">
        <v>41.5</v>
      </c>
      <c r="G52" s="3">
        <v>57.5</v>
      </c>
      <c r="H52" s="3">
        <v>77</v>
      </c>
      <c r="I52" s="3">
        <v>93.9</v>
      </c>
      <c r="J52" s="3"/>
      <c r="K52" s="3">
        <v>99.8</v>
      </c>
      <c r="L52" s="3"/>
      <c r="N52" s="260">
        <f>0.04125*C$3</f>
        <v>63466.540912499993</v>
      </c>
    </row>
    <row r="53" spans="4:40" x14ac:dyDescent="0.35">
      <c r="D53" t="s">
        <v>95</v>
      </c>
      <c r="E53" s="68">
        <v>0.04</v>
      </c>
      <c r="F53" s="3">
        <v>43.7</v>
      </c>
      <c r="G53" s="3">
        <v>60.2</v>
      </c>
      <c r="H53" s="3">
        <v>78.8</v>
      </c>
      <c r="I53" s="3">
        <v>95.1</v>
      </c>
      <c r="J53" s="3"/>
      <c r="K53" s="3">
        <v>99.9</v>
      </c>
      <c r="L53" s="3"/>
      <c r="N53" s="260">
        <f>0.04*C$3</f>
        <v>61543.312399999995</v>
      </c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4:40" x14ac:dyDescent="0.35">
      <c r="D54" t="s">
        <v>95</v>
      </c>
      <c r="E54" s="68">
        <v>3.4000000000000002E-2</v>
      </c>
      <c r="F54" s="3">
        <v>56.6</v>
      </c>
      <c r="G54" s="3">
        <v>71.5</v>
      </c>
      <c r="H54" s="3">
        <v>87.6</v>
      </c>
      <c r="I54" s="3">
        <v>97.9</v>
      </c>
      <c r="J54" s="3"/>
      <c r="K54" s="3">
        <v>100</v>
      </c>
      <c r="L54" s="3"/>
      <c r="N54" s="260">
        <f>0.034*C$3</f>
        <v>52311.815539999996</v>
      </c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4:40" x14ac:dyDescent="0.35">
      <c r="F55" s="1"/>
      <c r="G55" s="68"/>
      <c r="H55" s="114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4:40" x14ac:dyDescent="0.35">
      <c r="F56" s="1"/>
      <c r="G56" s="68"/>
      <c r="H56" s="114"/>
      <c r="I56" s="3"/>
      <c r="J56" s="3"/>
      <c r="K56" s="3"/>
      <c r="L56" s="3"/>
      <c r="M56" s="3"/>
      <c r="N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4:40" x14ac:dyDescent="0.35">
      <c r="D57" t="s">
        <v>404</v>
      </c>
      <c r="M57" s="3"/>
      <c r="X57" s="7">
        <f>C$3*0.05</f>
        <v>76929.140499999994</v>
      </c>
      <c r="Z57"/>
    </row>
    <row r="58" spans="4:40" x14ac:dyDescent="0.35">
      <c r="D58" t="s">
        <v>214</v>
      </c>
      <c r="E58" s="1" t="s">
        <v>438</v>
      </c>
      <c r="M58" s="3"/>
      <c r="X58" s="7"/>
      <c r="Z58"/>
    </row>
    <row r="59" spans="4:40" x14ac:dyDescent="0.35">
      <c r="D59" t="s">
        <v>95</v>
      </c>
      <c r="E59" s="68">
        <v>0.05</v>
      </c>
      <c r="F59" s="3">
        <v>25.3</v>
      </c>
      <c r="G59" s="3">
        <v>39.9</v>
      </c>
      <c r="H59" s="3">
        <v>62</v>
      </c>
      <c r="I59" s="3">
        <v>89.8</v>
      </c>
      <c r="J59" s="3"/>
      <c r="K59" s="3">
        <v>100</v>
      </c>
      <c r="L59" s="3">
        <v>88.3</v>
      </c>
      <c r="X59" s="7">
        <f>C$3*0.047</f>
        <v>72313.392069999987</v>
      </c>
      <c r="Z59"/>
    </row>
    <row r="60" spans="4:40" x14ac:dyDescent="0.35">
      <c r="D60" t="s">
        <v>95</v>
      </c>
      <c r="E60" s="233">
        <v>4.7E-2</v>
      </c>
      <c r="F60" s="3">
        <v>32</v>
      </c>
      <c r="G60" s="3">
        <v>47.4</v>
      </c>
      <c r="H60" s="3">
        <v>69.2</v>
      </c>
      <c r="I60" s="3">
        <v>92.9</v>
      </c>
      <c r="J60" s="3"/>
      <c r="K60" s="3">
        <v>100</v>
      </c>
      <c r="L60" s="234">
        <v>89.3</v>
      </c>
      <c r="M60" s="3"/>
      <c r="X60" s="7">
        <f>C$3*0.045</f>
        <v>69236.226449999987</v>
      </c>
      <c r="Z60"/>
    </row>
    <row r="61" spans="4:40" x14ac:dyDescent="0.35">
      <c r="D61" t="s">
        <v>95</v>
      </c>
      <c r="E61" s="68">
        <v>4.4999999999999998E-2</v>
      </c>
      <c r="F61" s="3">
        <v>36.299999999999997</v>
      </c>
      <c r="G61" s="3">
        <v>51.9</v>
      </c>
      <c r="H61" s="3">
        <v>73</v>
      </c>
      <c r="I61" s="3">
        <v>94.2</v>
      </c>
      <c r="J61" s="3"/>
      <c r="K61" s="3">
        <v>100</v>
      </c>
      <c r="L61" s="3">
        <v>91.4</v>
      </c>
      <c r="M61" s="3"/>
      <c r="X61" s="7">
        <f>C$3*0.0425</f>
        <v>65389.769424999999</v>
      </c>
      <c r="Z61"/>
    </row>
    <row r="62" spans="4:40" x14ac:dyDescent="0.35">
      <c r="D62" t="s">
        <v>95</v>
      </c>
      <c r="E62" s="257">
        <v>4.2500000000000003E-2</v>
      </c>
      <c r="F62" s="3">
        <v>40.200000000000003</v>
      </c>
      <c r="G62" s="3">
        <v>57</v>
      </c>
      <c r="H62" s="3">
        <v>77.3</v>
      </c>
      <c r="I62" s="3">
        <v>95.6</v>
      </c>
      <c r="J62" s="3"/>
      <c r="K62" s="3">
        <v>100</v>
      </c>
      <c r="L62" s="3">
        <v>92.9</v>
      </c>
      <c r="M62" s="3"/>
      <c r="X62" s="7">
        <f>C$3*0.04</f>
        <v>61543.312399999995</v>
      </c>
      <c r="Z62"/>
    </row>
    <row r="63" spans="4:40" x14ac:dyDescent="0.35">
      <c r="D63" t="s">
        <v>95</v>
      </c>
      <c r="E63" s="258">
        <v>4.1250000000000002E-2</v>
      </c>
      <c r="F63" s="3">
        <v>42.6</v>
      </c>
      <c r="G63" s="3">
        <v>58.9</v>
      </c>
      <c r="H63" s="3">
        <v>78.7</v>
      </c>
      <c r="I63" s="3">
        <v>96</v>
      </c>
      <c r="J63" s="3"/>
      <c r="K63" s="3">
        <v>100</v>
      </c>
      <c r="L63" s="3">
        <v>96</v>
      </c>
      <c r="X63" s="7"/>
      <c r="Z63"/>
      <c r="AL63" s="7"/>
    </row>
    <row r="64" spans="4:40" x14ac:dyDescent="0.35">
      <c r="D64" t="s">
        <v>95</v>
      </c>
      <c r="E64" s="68">
        <v>0.04</v>
      </c>
      <c r="F64" s="3">
        <v>45.8</v>
      </c>
      <c r="G64" s="3">
        <v>62.1</v>
      </c>
      <c r="H64" s="3">
        <v>80.3</v>
      </c>
      <c r="I64" s="3">
        <v>96.7</v>
      </c>
      <c r="J64" s="3"/>
      <c r="K64" s="3">
        <v>100</v>
      </c>
      <c r="N64" s="3"/>
      <c r="AN64" s="7"/>
    </row>
    <row r="65" spans="4:40" x14ac:dyDescent="0.35">
      <c r="D65" t="s">
        <v>95</v>
      </c>
      <c r="E65" s="68">
        <v>3.4000000000000002E-2</v>
      </c>
      <c r="F65" s="3">
        <v>57</v>
      </c>
      <c r="G65" s="3">
        <v>72.5</v>
      </c>
      <c r="H65" s="3">
        <v>87.9</v>
      </c>
      <c r="I65" s="3">
        <v>98.7</v>
      </c>
      <c r="J65" s="3"/>
      <c r="K65" s="3">
        <v>100</v>
      </c>
      <c r="N65" s="3"/>
      <c r="AN65" s="7"/>
    </row>
    <row r="66" spans="4:40" x14ac:dyDescent="0.35">
      <c r="G66" s="68"/>
      <c r="H66" s="114"/>
      <c r="I66" s="3"/>
      <c r="K66" s="3"/>
      <c r="N66" s="3"/>
      <c r="AN66" s="7"/>
    </row>
    <row r="67" spans="4:40" x14ac:dyDescent="0.35">
      <c r="G67" s="68"/>
      <c r="H67" s="114"/>
      <c r="I67" s="3"/>
      <c r="K67" s="3"/>
      <c r="N67" s="3"/>
      <c r="AN67" s="7"/>
    </row>
    <row r="68" spans="4:40" x14ac:dyDescent="0.35">
      <c r="D68" t="s">
        <v>405</v>
      </c>
      <c r="I68" s="77"/>
      <c r="AN68" s="7"/>
    </row>
    <row r="69" spans="4:40" x14ac:dyDescent="0.35">
      <c r="D69" s="1" t="s">
        <v>95</v>
      </c>
      <c r="E69" t="s">
        <v>96</v>
      </c>
      <c r="F69" t="s">
        <v>175</v>
      </c>
      <c r="G69" t="s">
        <v>176</v>
      </c>
      <c r="H69" t="s">
        <v>177</v>
      </c>
      <c r="I69" t="s">
        <v>432</v>
      </c>
      <c r="K69" t="s">
        <v>433</v>
      </c>
      <c r="L69" t="s">
        <v>204</v>
      </c>
      <c r="M69" s="3"/>
    </row>
    <row r="70" spans="4:40" x14ac:dyDescent="0.35">
      <c r="D70" s="1" t="s">
        <v>214</v>
      </c>
      <c r="E70" s="1" t="s">
        <v>437</v>
      </c>
      <c r="F70" s="114"/>
      <c r="G70" s="3"/>
      <c r="H70" s="3"/>
      <c r="I70" s="3"/>
      <c r="J70" s="3"/>
      <c r="K70" s="3"/>
      <c r="L70" s="3"/>
      <c r="M70" s="3"/>
    </row>
    <row r="71" spans="4:40" x14ac:dyDescent="0.35">
      <c r="D71" s="1" t="s">
        <v>95</v>
      </c>
      <c r="E71" s="68">
        <v>0.05</v>
      </c>
      <c r="F71" s="114"/>
      <c r="G71" s="3"/>
      <c r="H71" s="3"/>
      <c r="J71" s="3"/>
      <c r="K71" s="3"/>
      <c r="L71" s="3">
        <v>99.9</v>
      </c>
      <c r="M71" s="3"/>
    </row>
    <row r="72" spans="4:40" x14ac:dyDescent="0.35">
      <c r="D72" s="1" t="s">
        <v>95</v>
      </c>
      <c r="E72" s="68">
        <v>4.7E-2</v>
      </c>
      <c r="F72" s="114"/>
      <c r="G72" s="3"/>
      <c r="H72" s="3"/>
      <c r="J72" s="3"/>
      <c r="K72" s="3"/>
      <c r="L72" s="3">
        <v>99.9</v>
      </c>
      <c r="M72" s="3"/>
    </row>
    <row r="73" spans="4:40" x14ac:dyDescent="0.35">
      <c r="D73" s="1" t="s">
        <v>95</v>
      </c>
      <c r="E73" s="68">
        <v>4.4999999999999998E-2</v>
      </c>
      <c r="F73" s="114"/>
      <c r="G73" s="3"/>
      <c r="H73" s="3"/>
      <c r="J73" s="3"/>
      <c r="K73" s="3"/>
      <c r="L73" s="3">
        <v>99.7</v>
      </c>
    </row>
    <row r="74" spans="4:40" x14ac:dyDescent="0.35">
      <c r="D74" s="1" t="s">
        <v>95</v>
      </c>
      <c r="E74" s="233">
        <v>4.2500000000000003E-2</v>
      </c>
      <c r="F74" s="234"/>
      <c r="G74" s="234"/>
      <c r="H74" s="234"/>
      <c r="I74" s="112"/>
      <c r="J74" s="234"/>
      <c r="K74" s="234"/>
      <c r="L74" s="234">
        <v>99.7</v>
      </c>
    </row>
    <row r="75" spans="4:40" x14ac:dyDescent="0.35">
      <c r="D75" s="1" t="s">
        <v>95</v>
      </c>
      <c r="E75" s="258">
        <v>4.1250000000000002E-2</v>
      </c>
      <c r="F75" s="114"/>
      <c r="G75" s="3"/>
      <c r="H75" s="3"/>
      <c r="J75" s="3"/>
      <c r="K75" s="3"/>
      <c r="L75" s="3">
        <v>99.5</v>
      </c>
      <c r="M75" s="3"/>
    </row>
    <row r="76" spans="4:40" x14ac:dyDescent="0.35">
      <c r="D76" s="1" t="s">
        <v>95</v>
      </c>
      <c r="E76" s="68">
        <v>0.04</v>
      </c>
      <c r="F76" s="114"/>
      <c r="G76" s="3"/>
      <c r="H76" s="3"/>
      <c r="J76" s="3"/>
      <c r="K76" s="3"/>
      <c r="L76" s="3">
        <v>99.3</v>
      </c>
      <c r="M76" s="3"/>
    </row>
    <row r="77" spans="4:40" x14ac:dyDescent="0.35">
      <c r="D77" s="1" t="s">
        <v>95</v>
      </c>
      <c r="E77" s="68">
        <v>3.4000000000000002E-2</v>
      </c>
      <c r="F77" s="114"/>
      <c r="G77" s="3"/>
      <c r="H77" s="3"/>
      <c r="J77" s="3"/>
      <c r="K77" s="3"/>
      <c r="L77" s="3">
        <v>97.9</v>
      </c>
      <c r="M77" s="3"/>
    </row>
    <row r="80" spans="4:40" x14ac:dyDescent="0.35">
      <c r="D80" t="s">
        <v>436</v>
      </c>
      <c r="I80" s="77"/>
    </row>
    <row r="81" spans="4:26" x14ac:dyDescent="0.35">
      <c r="D81" s="1" t="s">
        <v>95</v>
      </c>
      <c r="E81" t="s">
        <v>96</v>
      </c>
      <c r="F81" t="s">
        <v>175</v>
      </c>
      <c r="G81" t="s">
        <v>176</v>
      </c>
      <c r="H81" t="s">
        <v>177</v>
      </c>
      <c r="I81" t="s">
        <v>432</v>
      </c>
      <c r="K81" t="s">
        <v>433</v>
      </c>
    </row>
    <row r="82" spans="4:26" x14ac:dyDescent="0.35">
      <c r="D82" s="1" t="s">
        <v>214</v>
      </c>
      <c r="E82" s="143" t="s">
        <v>340</v>
      </c>
      <c r="F82" s="114"/>
      <c r="G82" s="3"/>
      <c r="H82" s="3"/>
      <c r="I82" s="3"/>
      <c r="J82" s="3"/>
      <c r="K82" s="3"/>
      <c r="Y82" t="s">
        <v>418</v>
      </c>
      <c r="Z82" s="238">
        <f ca="1">IF(force_recalc,(Z82+$O$42),0)</f>
        <v>669.77871229879349</v>
      </c>
    </row>
    <row r="83" spans="4:26" x14ac:dyDescent="0.35">
      <c r="D83" s="1" t="s">
        <v>95</v>
      </c>
      <c r="E83" s="68">
        <v>0.05</v>
      </c>
      <c r="F83" s="114"/>
      <c r="G83" s="3"/>
      <c r="H83" s="3"/>
      <c r="J83" s="3"/>
      <c r="K83" s="3"/>
      <c r="Y83" t="s">
        <v>419</v>
      </c>
      <c r="Z83" s="238">
        <f ca="1">IF(force_recalc,(Z83+$N$42),0)</f>
        <v>379.0902602776311</v>
      </c>
    </row>
    <row r="84" spans="4:26" x14ac:dyDescent="0.35">
      <c r="D84" s="1" t="s">
        <v>95</v>
      </c>
      <c r="E84" s="68">
        <v>4.7E-2</v>
      </c>
      <c r="F84" s="114"/>
      <c r="G84" s="3"/>
      <c r="H84" s="3"/>
      <c r="J84" s="3"/>
      <c r="K84" s="3"/>
    </row>
    <row r="85" spans="4:26" x14ac:dyDescent="0.35">
      <c r="D85" s="1" t="s">
        <v>95</v>
      </c>
      <c r="E85" s="68">
        <v>4.4999999999999998E-2</v>
      </c>
      <c r="F85" s="114"/>
      <c r="G85" s="3"/>
      <c r="H85" s="3"/>
      <c r="J85" s="3"/>
      <c r="K85" s="3"/>
    </row>
    <row r="86" spans="4:26" x14ac:dyDescent="0.35">
      <c r="D86" s="1" t="s">
        <v>95</v>
      </c>
      <c r="E86" s="233">
        <v>4.2500000000000003E-2</v>
      </c>
      <c r="F86" s="234"/>
      <c r="G86" s="234"/>
      <c r="H86" s="234"/>
      <c r="I86" s="112"/>
      <c r="J86" s="234"/>
      <c r="K86" s="234"/>
    </row>
    <row r="87" spans="4:26" x14ac:dyDescent="0.35">
      <c r="D87" s="1" t="s">
        <v>95</v>
      </c>
      <c r="E87" s="258">
        <v>4.1250000000000002E-2</v>
      </c>
      <c r="F87" s="114"/>
      <c r="G87" s="3"/>
      <c r="H87" s="3"/>
      <c r="J87" s="3"/>
      <c r="K87" s="3"/>
    </row>
    <row r="88" spans="4:26" x14ac:dyDescent="0.35">
      <c r="D88" s="1" t="s">
        <v>95</v>
      </c>
      <c r="E88" s="68">
        <v>0.04</v>
      </c>
      <c r="F88" s="114"/>
      <c r="G88" s="3"/>
      <c r="H88" s="3"/>
      <c r="J88" s="3"/>
      <c r="K88" s="3"/>
    </row>
    <row r="89" spans="4:26" x14ac:dyDescent="0.35">
      <c r="D89" s="1" t="s">
        <v>95</v>
      </c>
      <c r="E89" s="68">
        <v>3.4000000000000002E-2</v>
      </c>
      <c r="F89" s="114"/>
      <c r="G89" s="3"/>
      <c r="H89" s="3"/>
      <c r="J89" s="3"/>
      <c r="K89" s="3"/>
    </row>
    <row r="90" spans="4:26" x14ac:dyDescent="0.35">
      <c r="D90" s="1"/>
      <c r="E90" s="68"/>
      <c r="F90" s="114"/>
      <c r="G90" s="3"/>
      <c r="H90" s="3"/>
      <c r="J90" s="3"/>
      <c r="K90" s="3"/>
    </row>
  </sheetData>
  <mergeCells count="5">
    <mergeCell ref="AQ10:AY12"/>
    <mergeCell ref="AF27:AF28"/>
    <mergeCell ref="AJ42:AK42"/>
    <mergeCell ref="X45:X49"/>
    <mergeCell ref="AQ5:AY8"/>
  </mergeCells>
  <conditionalFormatting sqref="E3:E40">
    <cfRule type="expression" dxfId="7" priority="4">
      <formula>$F3-$D3&lt;0</formula>
    </cfRule>
    <cfRule type="expression" dxfId="6" priority="5">
      <formula>$F3-$D3&gt;0</formula>
    </cfRule>
  </conditionalFormatting>
  <conditionalFormatting sqref="AG22">
    <cfRule type="expression" dxfId="5" priority="2">
      <formula>AG22&gt;999</formula>
    </cfRule>
  </conditionalFormatting>
  <conditionalFormatting sqref="AN3:AN33 AN35:AN40">
    <cfRule type="cellIs" dxfId="4" priority="1" operator="equal">
      <formula>MIN($AN$3:$AN$40)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imulateF9Recalcs">
                <anchor moveWithCells="1" sizeWithCells="1">
                  <from>
                    <xdr:col>32</xdr:col>
                    <xdr:colOff>127000</xdr:colOff>
                    <xdr:row>0</xdr:row>
                    <xdr:rowOff>304800</xdr:rowOff>
                  </from>
                  <to>
                    <xdr:col>32</xdr:col>
                    <xdr:colOff>1282700</xdr:colOff>
                    <xdr:row>0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B7F4C-0293-4176-B4CB-0B9E960D4165}">
  <sheetPr codeName="Sheet5"/>
  <dimension ref="A1:I34"/>
  <sheetViews>
    <sheetView workbookViewId="0">
      <selection activeCell="AG12" sqref="AG12"/>
    </sheetView>
  </sheetViews>
  <sheetFormatPr defaultRowHeight="14.5" x14ac:dyDescent="0.35"/>
  <cols>
    <col min="2" max="4" width="13.36328125" customWidth="1"/>
    <col min="5" max="5" width="15.453125" bestFit="1" customWidth="1"/>
    <col min="6" max="6" width="13.36328125" customWidth="1"/>
  </cols>
  <sheetData>
    <row r="1" spans="1:9" x14ac:dyDescent="0.35">
      <c r="A1" t="s">
        <v>49</v>
      </c>
      <c r="B1" s="86" t="s">
        <v>102</v>
      </c>
      <c r="C1" s="87" t="s">
        <v>105</v>
      </c>
      <c r="D1" s="86" t="s">
        <v>103</v>
      </c>
      <c r="E1" s="100" t="s">
        <v>126</v>
      </c>
      <c r="F1" s="86" t="s">
        <v>104</v>
      </c>
      <c r="G1" s="86" t="s">
        <v>128</v>
      </c>
      <c r="I1" s="86" t="s">
        <v>164</v>
      </c>
    </row>
    <row r="2" spans="1:9" x14ac:dyDescent="0.35">
      <c r="B2" s="86"/>
      <c r="C2" s="86"/>
      <c r="D2" s="86"/>
      <c r="E2" s="100"/>
      <c r="F2" s="86"/>
    </row>
    <row r="3" spans="1:9" x14ac:dyDescent="0.35">
      <c r="B3" s="86">
        <f>'Guyton-Klinger_mkt_based_incrs'!B11</f>
        <v>73</v>
      </c>
      <c r="C3" s="88">
        <v>26.5</v>
      </c>
      <c r="D3" s="89">
        <f t="shared" ref="D3:D32" si="0">1/C3</f>
        <v>3.7735849056603772E-2</v>
      </c>
      <c r="E3" s="101">
        <f ca="1">'Guyton-Klinger_mkt_based_incrs'!C11</f>
        <v>1345028.9885676075</v>
      </c>
      <c r="F3" s="90">
        <f ca="1">D3*E3</f>
        <v>50755.810889343673</v>
      </c>
      <c r="G3" s="7">
        <f ca="1">F3*0.12</f>
        <v>6090.6973067212402</v>
      </c>
      <c r="I3" s="7">
        <f ca="1">'Guyton-Klinger_mkt_based_incrs'!F11</f>
        <v>61388.328406691231</v>
      </c>
    </row>
    <row r="4" spans="1:9" x14ac:dyDescent="0.35">
      <c r="B4" s="86">
        <f>'Guyton-Klinger_mkt_based_incrs'!B12</f>
        <v>74</v>
      </c>
      <c r="C4" s="88">
        <v>25.5</v>
      </c>
      <c r="D4" s="89">
        <f t="shared" si="0"/>
        <v>3.9215686274509803E-2</v>
      </c>
      <c r="E4" s="101">
        <f ca="1">'Guyton-Klinger_mkt_based_incrs'!C12</f>
        <v>1175231.7135188875</v>
      </c>
      <c r="F4" s="90">
        <f t="shared" ref="F4:F32" ca="1" si="1">D4*E4</f>
        <v>46087.518177211277</v>
      </c>
      <c r="G4" s="7">
        <f t="shared" ref="G4:G32" ca="1" si="2">F4*0.12</f>
        <v>5530.5021812653531</v>
      </c>
      <c r="I4" s="7">
        <f ca="1">'Guyton-Klinger_mkt_based_incrs'!F12</f>
        <v>55249.495566022109</v>
      </c>
    </row>
    <row r="5" spans="1:9" x14ac:dyDescent="0.35">
      <c r="B5" s="86">
        <f>'Guyton-Klinger_mkt_based_incrs'!B13</f>
        <v>75</v>
      </c>
      <c r="C5" s="88">
        <v>24.6</v>
      </c>
      <c r="D5" s="89">
        <f t="shared" si="0"/>
        <v>4.065040650406504E-2</v>
      </c>
      <c r="E5" s="101">
        <f ca="1">'Guyton-Klinger_mkt_based_incrs'!C13</f>
        <v>1123368.6465366918</v>
      </c>
      <c r="F5" s="90">
        <f t="shared" ca="1" si="1"/>
        <v>45665.392135637878</v>
      </c>
      <c r="G5" s="7">
        <f t="shared" ca="1" si="2"/>
        <v>5479.8470562765451</v>
      </c>
      <c r="I5" s="7">
        <f ca="1">'Guyton-Klinger_mkt_based_incrs'!F13</f>
        <v>50390.081890896821</v>
      </c>
    </row>
    <row r="6" spans="1:9" x14ac:dyDescent="0.35">
      <c r="B6" s="86">
        <f>'Guyton-Klinger_mkt_based_incrs'!B14</f>
        <v>76</v>
      </c>
      <c r="C6" s="88">
        <v>23.7</v>
      </c>
      <c r="D6" s="89">
        <f t="shared" si="0"/>
        <v>4.2194092827004218E-2</v>
      </c>
      <c r="E6" s="101">
        <f ca="1">'Guyton-Klinger_mkt_based_incrs'!C14</f>
        <v>1040078.5842808998</v>
      </c>
      <c r="F6" s="90">
        <f t="shared" ca="1" si="1"/>
        <v>43885.172332527414</v>
      </c>
      <c r="G6" s="7">
        <f t="shared" ca="1" si="2"/>
        <v>5266.2206799032892</v>
      </c>
      <c r="I6" s="7">
        <f ca="1">'Guyton-Klinger_mkt_based_incrs'!F14</f>
        <v>50390.081890896821</v>
      </c>
    </row>
    <row r="7" spans="1:9" x14ac:dyDescent="0.35">
      <c r="B7" s="86">
        <f>'Guyton-Klinger_mkt_based_incrs'!B15</f>
        <v>77</v>
      </c>
      <c r="C7" s="88">
        <v>22.9</v>
      </c>
      <c r="D7" s="89">
        <f t="shared" si="0"/>
        <v>4.3668122270742363E-2</v>
      </c>
      <c r="E7" s="101">
        <f ca="1">'Guyton-Klinger_mkt_based_incrs'!C15</f>
        <v>1043995.558102439</v>
      </c>
      <c r="F7" s="90">
        <f t="shared" ca="1" si="1"/>
        <v>45589.325681329217</v>
      </c>
      <c r="G7" s="7">
        <f t="shared" ca="1" si="2"/>
        <v>5470.7190817595056</v>
      </c>
      <c r="I7" s="7">
        <f ca="1">'Guyton-Klinger_mkt_based_incrs'!F15</f>
        <v>50829.143905150704</v>
      </c>
    </row>
    <row r="8" spans="1:9" x14ac:dyDescent="0.35">
      <c r="B8" s="86">
        <f>'Guyton-Klinger_mkt_based_incrs'!B16</f>
        <v>78</v>
      </c>
      <c r="C8" s="88">
        <v>22</v>
      </c>
      <c r="D8" s="89">
        <f t="shared" si="0"/>
        <v>4.5454545454545456E-2</v>
      </c>
      <c r="E8" s="101">
        <f ca="1">'Guyton-Klinger_mkt_based_incrs'!C16</f>
        <v>1011840.0682912804</v>
      </c>
      <c r="F8" s="90">
        <f t="shared" ca="1" si="1"/>
        <v>45992.730376876381</v>
      </c>
      <c r="G8" s="7">
        <f t="shared" ca="1" si="2"/>
        <v>5519.1276452251659</v>
      </c>
      <c r="I8" s="7">
        <f ca="1">'Guyton-Klinger_mkt_based_incrs'!F16</f>
        <v>48501.719901513585</v>
      </c>
    </row>
    <row r="9" spans="1:9" x14ac:dyDescent="0.35">
      <c r="B9" s="86">
        <f>'Guyton-Klinger_mkt_based_incrs'!B17</f>
        <v>79</v>
      </c>
      <c r="C9" s="88">
        <v>21.1</v>
      </c>
      <c r="D9" s="89">
        <f t="shared" si="0"/>
        <v>4.7393364928909949E-2</v>
      </c>
      <c r="E9" s="101">
        <f ca="1">'Guyton-Klinger_mkt_based_incrs'!C17</f>
        <v>982796.7336810499</v>
      </c>
      <c r="F9" s="90">
        <f t="shared" ca="1" si="1"/>
        <v>46578.044250286723</v>
      </c>
      <c r="G9" s="7">
        <f t="shared" ca="1" si="2"/>
        <v>5589.3653100344063</v>
      </c>
      <c r="I9" s="7">
        <f ca="1">'Guyton-Klinger_mkt_based_incrs'!F17</f>
        <v>45897.926039183185</v>
      </c>
    </row>
    <row r="10" spans="1:9" x14ac:dyDescent="0.35">
      <c r="B10" s="86">
        <f>'Guyton-Klinger_mkt_based_incrs'!B18</f>
        <v>80</v>
      </c>
      <c r="C10" s="88">
        <v>20.2</v>
      </c>
      <c r="D10" s="89">
        <f t="shared" si="0"/>
        <v>4.9504950495049507E-2</v>
      </c>
      <c r="E10" s="101">
        <f ca="1">'Guyton-Klinger_mkt_based_incrs'!C18</f>
        <v>1087569.4772457103</v>
      </c>
      <c r="F10" s="90">
        <f t="shared" ca="1" si="1"/>
        <v>53840.073130975761</v>
      </c>
      <c r="G10" s="7">
        <f t="shared" ca="1" si="2"/>
        <v>6460.8087757170915</v>
      </c>
      <c r="I10" s="7">
        <f ca="1">'Guyton-Klinger_mkt_based_incrs'!F18</f>
        <v>48185.008673594399</v>
      </c>
    </row>
    <row r="11" spans="1:9" x14ac:dyDescent="0.35">
      <c r="B11" s="86">
        <f>'Guyton-Klinger_mkt_based_incrs'!B19</f>
        <v>81</v>
      </c>
      <c r="C11" s="88">
        <v>19.399999999999999</v>
      </c>
      <c r="D11" s="89">
        <f t="shared" si="0"/>
        <v>5.1546391752577324E-2</v>
      </c>
      <c r="E11" s="101">
        <f ca="1">'Guyton-Klinger_mkt_based_incrs'!C19</f>
        <v>1376654.438294023</v>
      </c>
      <c r="F11" s="90">
        <f t="shared" ca="1" si="1"/>
        <v>70961.568984227997</v>
      </c>
      <c r="G11" s="7">
        <f t="shared" ca="1" si="2"/>
        <v>8515.3882781073589</v>
      </c>
      <c r="I11" s="7">
        <f ca="1">'Guyton-Klinger_mkt_based_incrs'!F19</f>
        <v>50629.846453074861</v>
      </c>
    </row>
    <row r="12" spans="1:9" x14ac:dyDescent="0.35">
      <c r="B12" s="86">
        <f>'Guyton-Klinger_mkt_based_incrs'!B20</f>
        <v>82</v>
      </c>
      <c r="C12" s="88">
        <v>18.5</v>
      </c>
      <c r="D12" s="89">
        <f t="shared" si="0"/>
        <v>5.4054054054054057E-2</v>
      </c>
      <c r="E12" s="101">
        <f ca="1">'Guyton-Klinger_mkt_based_incrs'!C20</f>
        <v>1634043.958690014</v>
      </c>
      <c r="F12" s="90">
        <f t="shared" ca="1" si="1"/>
        <v>88326.700469730495</v>
      </c>
      <c r="G12" s="7">
        <f t="shared" ca="1" si="2"/>
        <v>10599.204056367658</v>
      </c>
      <c r="I12" s="7">
        <f ca="1">'Guyton-Klinger_mkt_based_incrs'!F20</f>
        <v>57450.302718241517</v>
      </c>
    </row>
    <row r="13" spans="1:9" x14ac:dyDescent="0.35">
      <c r="B13" s="86">
        <f>'Guyton-Klinger_mkt_based_incrs'!B21</f>
        <v>83</v>
      </c>
      <c r="C13" s="88">
        <v>17.7</v>
      </c>
      <c r="D13" s="89">
        <f t="shared" si="0"/>
        <v>5.6497175141242938E-2</v>
      </c>
      <c r="E13" s="101">
        <f ca="1">'Guyton-Klinger_mkt_based_incrs'!C21</f>
        <v>1637440.7491072903</v>
      </c>
      <c r="F13" s="90">
        <f t="shared" ca="1" si="1"/>
        <v>92510.776785722614</v>
      </c>
      <c r="G13" s="7">
        <f t="shared" ca="1" si="2"/>
        <v>11101.293214286714</v>
      </c>
      <c r="I13" s="7">
        <f ca="1">'Guyton-Klinger_mkt_based_incrs'!F21</f>
        <v>59779.510369229101</v>
      </c>
    </row>
    <row r="14" spans="1:9" x14ac:dyDescent="0.35">
      <c r="B14" s="86">
        <f>'Guyton-Klinger_mkt_based_incrs'!B22</f>
        <v>84</v>
      </c>
      <c r="C14" s="88">
        <v>16.8</v>
      </c>
      <c r="D14" s="89">
        <f t="shared" si="0"/>
        <v>5.9523809523809521E-2</v>
      </c>
      <c r="E14" s="101">
        <f ca="1">'Guyton-Klinger_mkt_based_incrs'!C22</f>
        <v>1864345.752696804</v>
      </c>
      <c r="F14" s="90">
        <f t="shared" ca="1" si="1"/>
        <v>110972.96147004786</v>
      </c>
      <c r="G14" s="7">
        <f t="shared" ca="1" si="2"/>
        <v>13316.755376405743</v>
      </c>
      <c r="I14" s="7">
        <f ca="1">'Guyton-Klinger_mkt_based_incrs'!F22</f>
        <v>65102.07307474385</v>
      </c>
    </row>
    <row r="15" spans="1:9" x14ac:dyDescent="0.35">
      <c r="B15" s="86">
        <f>'Guyton-Klinger_mkt_based_incrs'!B23</f>
        <v>85</v>
      </c>
      <c r="C15" s="88">
        <v>16</v>
      </c>
      <c r="D15" s="89">
        <f t="shared" si="0"/>
        <v>6.25E-2</v>
      </c>
      <c r="E15" s="101">
        <f ca="1">'Guyton-Klinger_mkt_based_incrs'!C23</f>
        <v>1726143.2422297259</v>
      </c>
      <c r="F15" s="90">
        <f t="shared" ca="1" si="1"/>
        <v>107883.95263935787</v>
      </c>
      <c r="G15" s="7">
        <f t="shared" ca="1" si="2"/>
        <v>12946.074316722945</v>
      </c>
      <c r="I15" s="7">
        <f ca="1">'Guyton-Klinger_mkt_based_incrs'!F23</f>
        <v>65102.07307474385</v>
      </c>
    </row>
    <row r="16" spans="1:9" x14ac:dyDescent="0.35">
      <c r="B16" s="86">
        <f>'Guyton-Klinger_mkt_based_incrs'!B24</f>
        <v>86</v>
      </c>
      <c r="C16" s="88">
        <v>15.2</v>
      </c>
      <c r="D16" s="89">
        <f t="shared" si="0"/>
        <v>6.5789473684210523E-2</v>
      </c>
      <c r="E16" s="101">
        <f ca="1">'Guyton-Klinger_mkt_based_incrs'!C24</f>
        <v>1746837.8986396054</v>
      </c>
      <c r="F16" s="90">
        <f t="shared" ca="1" si="1"/>
        <v>114923.54596313192</v>
      </c>
      <c r="G16" s="7">
        <f t="shared" ca="1" si="2"/>
        <v>13790.825515575831</v>
      </c>
      <c r="I16" s="7">
        <f ca="1">'Guyton-Klinger_mkt_based_incrs'!F24</f>
        <v>68987.364875697502</v>
      </c>
    </row>
    <row r="17" spans="2:9" x14ac:dyDescent="0.35">
      <c r="B17" s="86">
        <f>'Guyton-Klinger_mkt_based_incrs'!B25</f>
        <v>87</v>
      </c>
      <c r="C17" s="88">
        <v>14.4</v>
      </c>
      <c r="D17" s="89">
        <f t="shared" si="0"/>
        <v>6.9444444444444448E-2</v>
      </c>
      <c r="E17" s="101">
        <f ca="1">'Guyton-Klinger_mkt_based_incrs'!C25</f>
        <v>1588911.2783870983</v>
      </c>
      <c r="F17" s="90">
        <f t="shared" ca="1" si="1"/>
        <v>110341.06099910405</v>
      </c>
      <c r="G17" s="7">
        <f t="shared" ca="1" si="2"/>
        <v>13240.927319892486</v>
      </c>
      <c r="I17" s="7">
        <f ca="1">'Guyton-Klinger_mkt_based_incrs'!F25</f>
        <v>68987.364875697502</v>
      </c>
    </row>
    <row r="18" spans="2:9" x14ac:dyDescent="0.35">
      <c r="B18" s="86">
        <f>'Guyton-Klinger_mkt_based_incrs'!B26</f>
        <v>88</v>
      </c>
      <c r="C18" s="88">
        <v>13.7</v>
      </c>
      <c r="D18" s="89">
        <f t="shared" si="0"/>
        <v>7.2992700729927015E-2</v>
      </c>
      <c r="E18" s="101">
        <f ca="1">'Guyton-Klinger_mkt_based_incrs'!C26</f>
        <v>1676202.52654679</v>
      </c>
      <c r="F18" s="90">
        <f t="shared" ca="1" si="1"/>
        <v>122350.54938297739</v>
      </c>
      <c r="G18" s="7">
        <f t="shared" ca="1" si="2"/>
        <v>14682.065925957286</v>
      </c>
      <c r="I18" s="7">
        <f ca="1">'Guyton-Klinger_mkt_based_incrs'!F26</f>
        <v>72817.699566834606</v>
      </c>
    </row>
    <row r="19" spans="2:9" x14ac:dyDescent="0.35">
      <c r="B19" s="86">
        <f>'Guyton-Klinger_mkt_based_incrs'!B27</f>
        <v>89</v>
      </c>
      <c r="C19" s="88">
        <v>12.9</v>
      </c>
      <c r="D19" s="89">
        <f t="shared" si="0"/>
        <v>7.7519379844961239E-2</v>
      </c>
      <c r="E19" s="101">
        <f ca="1">'Guyton-Klinger_mkt_based_incrs'!C27</f>
        <v>1807991.4689628272</v>
      </c>
      <c r="F19" s="90">
        <f t="shared" ca="1" si="1"/>
        <v>140154.37743897885</v>
      </c>
      <c r="G19" s="7">
        <f t="shared" ca="1" si="2"/>
        <v>16818.525292677459</v>
      </c>
      <c r="I19" s="7">
        <f ca="1">'Guyton-Klinger_mkt_based_incrs'!F27</f>
        <v>76356.821251908972</v>
      </c>
    </row>
    <row r="20" spans="2:9" x14ac:dyDescent="0.35">
      <c r="B20" s="86">
        <f>'Guyton-Klinger_mkt_based_incrs'!B28</f>
        <v>90</v>
      </c>
      <c r="C20" s="88">
        <v>12.2</v>
      </c>
      <c r="D20" s="89">
        <f t="shared" si="0"/>
        <v>8.1967213114754106E-2</v>
      </c>
      <c r="E20" s="101">
        <f ca="1">'Guyton-Klinger_mkt_based_incrs'!C28</f>
        <v>2185955.3056759862</v>
      </c>
      <c r="F20" s="90">
        <f t="shared" ca="1" si="1"/>
        <v>179176.66439967102</v>
      </c>
      <c r="G20" s="7">
        <f t="shared" ca="1" si="2"/>
        <v>21501.19972796052</v>
      </c>
      <c r="I20" s="7">
        <f ca="1">'Guyton-Klinger_mkt_based_incrs'!F28</f>
        <v>83764.765001989203</v>
      </c>
    </row>
    <row r="21" spans="2:9" x14ac:dyDescent="0.35">
      <c r="B21" s="86">
        <f>'Guyton-Klinger_mkt_based_incrs'!B29</f>
        <v>91</v>
      </c>
      <c r="C21" s="88">
        <v>11.5</v>
      </c>
      <c r="D21" s="89">
        <f t="shared" si="0"/>
        <v>8.6956521739130432E-2</v>
      </c>
      <c r="E21" s="101">
        <f ca="1">'Guyton-Klinger_mkt_based_incrs'!C29</f>
        <v>2180289.6936450489</v>
      </c>
      <c r="F21" s="90">
        <f t="shared" ca="1" si="1"/>
        <v>189590.40814304774</v>
      </c>
      <c r="G21" s="7">
        <f t="shared" ca="1" si="2"/>
        <v>22750.848977165726</v>
      </c>
      <c r="I21" s="7">
        <f ca="1">'Guyton-Klinger_mkt_based_incrs'!F29</f>
        <v>87950.36320123644</v>
      </c>
    </row>
    <row r="22" spans="2:9" x14ac:dyDescent="0.35">
      <c r="B22" s="86">
        <f>'Guyton-Klinger_mkt_based_incrs'!B30</f>
        <v>92</v>
      </c>
      <c r="C22" s="88">
        <v>10.8</v>
      </c>
      <c r="D22" s="89">
        <f t="shared" si="0"/>
        <v>9.2592592592592587E-2</v>
      </c>
      <c r="E22" s="101">
        <f ca="1">'Guyton-Klinger_mkt_based_incrs'!C30</f>
        <v>2482391.0371171217</v>
      </c>
      <c r="F22" s="90">
        <f t="shared" ca="1" si="1"/>
        <v>229851.02195528903</v>
      </c>
      <c r="G22" s="7">
        <f t="shared" ca="1" si="2"/>
        <v>27582.122634634685</v>
      </c>
      <c r="I22" s="7">
        <f ca="1">'Guyton-Klinger_mkt_based_incrs'!F30</f>
        <v>89995.15672345394</v>
      </c>
    </row>
    <row r="23" spans="2:9" x14ac:dyDescent="0.35">
      <c r="B23" s="86">
        <f>'Guyton-Klinger_mkt_based_incrs'!B31</f>
        <v>93</v>
      </c>
      <c r="C23" s="88">
        <v>10.1</v>
      </c>
      <c r="D23" s="89">
        <f t="shared" si="0"/>
        <v>9.9009900990099015E-2</v>
      </c>
      <c r="E23" s="101">
        <f ca="1">'Guyton-Klinger_mkt_based_incrs'!C31</f>
        <v>2687136.2455574633</v>
      </c>
      <c r="F23" s="90">
        <f t="shared" ca="1" si="1"/>
        <v>266053.09361955081</v>
      </c>
      <c r="G23" s="7">
        <f t="shared" ca="1" si="2"/>
        <v>31926.371234346097</v>
      </c>
      <c r="I23" s="7">
        <f ca="1">'Guyton-Klinger_mkt_based_incrs'!F31</f>
        <v>93872.401279711266</v>
      </c>
    </row>
    <row r="24" spans="2:9" x14ac:dyDescent="0.35">
      <c r="B24" s="86">
        <f>'Guyton-Klinger_mkt_based_incrs'!B32</f>
        <v>94</v>
      </c>
      <c r="C24" s="88">
        <v>9.5</v>
      </c>
      <c r="D24" s="89">
        <f t="shared" si="0"/>
        <v>0.10526315789473684</v>
      </c>
      <c r="E24" s="101">
        <f ca="1">'Guyton-Klinger_mkt_based_incrs'!C32</f>
        <v>2578167.7990729967</v>
      </c>
      <c r="F24" s="90">
        <f t="shared" ca="1" si="1"/>
        <v>271386.08411294699</v>
      </c>
      <c r="G24" s="7">
        <f t="shared" ca="1" si="2"/>
        <v>32566.330093553639</v>
      </c>
      <c r="I24" s="7">
        <f ca="1">'Guyton-Klinger_mkt_based_incrs'!F32</f>
        <v>93872.401279711266</v>
      </c>
    </row>
    <row r="25" spans="2:9" x14ac:dyDescent="0.35">
      <c r="B25" s="86">
        <f>'Guyton-Klinger_mkt_based_incrs'!B33</f>
        <v>95</v>
      </c>
      <c r="C25" s="88">
        <v>8.9</v>
      </c>
      <c r="D25" s="89">
        <f t="shared" si="0"/>
        <v>0.11235955056179775</v>
      </c>
      <c r="E25" s="101">
        <f ca="1">'Guyton-Klinger_mkt_based_incrs'!C33</f>
        <v>2617240.5047234967</v>
      </c>
      <c r="F25" s="90">
        <f t="shared" ca="1" si="1"/>
        <v>294071.96682286478</v>
      </c>
      <c r="G25" s="7">
        <f t="shared" ca="1" si="2"/>
        <v>35288.636018743775</v>
      </c>
      <c r="I25" s="7">
        <f ca="1">'Guyton-Klinger_mkt_based_incrs'!F33</f>
        <v>95650.400849809317</v>
      </c>
    </row>
    <row r="26" spans="2:9" x14ac:dyDescent="0.35">
      <c r="B26" s="86">
        <f>'Guyton-Klinger_mkt_based_incrs'!B34</f>
        <v>96</v>
      </c>
      <c r="C26" s="88">
        <v>8.4</v>
      </c>
      <c r="D26" s="89">
        <f t="shared" si="0"/>
        <v>0.11904761904761904</v>
      </c>
      <c r="E26" s="101">
        <f ca="1">'Guyton-Klinger_mkt_based_incrs'!C34</f>
        <v>2116796.2334873481</v>
      </c>
      <c r="F26" s="90">
        <f t="shared" ca="1" si="1"/>
        <v>251999.55160563666</v>
      </c>
      <c r="G26" s="7">
        <f t="shared" ca="1" si="2"/>
        <v>30239.946192676398</v>
      </c>
      <c r="I26" s="7">
        <f ca="1">'Guyton-Klinger_mkt_based_incrs'!F34</f>
        <v>95650.400849809317</v>
      </c>
    </row>
    <row r="27" spans="2:9" x14ac:dyDescent="0.35">
      <c r="B27" s="86">
        <f>'Guyton-Klinger_mkt_based_incrs'!B35</f>
        <v>97</v>
      </c>
      <c r="C27" s="88">
        <v>7.8</v>
      </c>
      <c r="D27" s="89">
        <f t="shared" si="0"/>
        <v>0.12820512820512822</v>
      </c>
      <c r="E27" s="101">
        <f ca="1">'Guyton-Klinger_mkt_based_incrs'!C35</f>
        <v>2297667.653689343</v>
      </c>
      <c r="F27" s="90">
        <f t="shared" ca="1" si="1"/>
        <v>294572.7761140184</v>
      </c>
      <c r="G27" s="7">
        <f t="shared" ca="1" si="2"/>
        <v>35348.73313368221</v>
      </c>
      <c r="I27" s="7">
        <f ca="1">'Guyton-Klinger_mkt_based_incrs'!F35</f>
        <v>98192.042380082814</v>
      </c>
    </row>
    <row r="28" spans="2:9" x14ac:dyDescent="0.35">
      <c r="B28" s="86">
        <f>'Guyton-Klinger_mkt_based_incrs'!B36</f>
        <v>98</v>
      </c>
      <c r="C28" s="88">
        <v>7.3</v>
      </c>
      <c r="D28" s="89">
        <f t="shared" si="0"/>
        <v>0.13698630136986301</v>
      </c>
      <c r="E28" s="101">
        <f ca="1">'Guyton-Klinger_mkt_based_incrs'!C36</f>
        <v>2568466.3670619293</v>
      </c>
      <c r="F28" s="90">
        <f t="shared" ca="1" si="1"/>
        <v>351844.7078167026</v>
      </c>
      <c r="G28" s="7">
        <f t="shared" ca="1" si="2"/>
        <v>42221.364938004313</v>
      </c>
      <c r="I28" s="7">
        <f ca="1">'Guyton-Klinger_mkt_based_incrs'!F36</f>
        <v>101379.53518209059</v>
      </c>
    </row>
    <row r="29" spans="2:9" x14ac:dyDescent="0.35">
      <c r="B29" s="86">
        <f>'Guyton-Klinger_mkt_based_incrs'!B37</f>
        <v>99</v>
      </c>
      <c r="C29" s="88">
        <v>6.8</v>
      </c>
      <c r="D29" s="89">
        <f t="shared" si="0"/>
        <v>0.14705882352941177</v>
      </c>
      <c r="E29" s="101">
        <f ca="1">'Guyton-Klinger_mkt_based_incrs'!C37</f>
        <v>2509971.5921316077</v>
      </c>
      <c r="F29" s="90">
        <f t="shared" ca="1" si="1"/>
        <v>369113.46943111881</v>
      </c>
      <c r="G29" s="7">
        <f t="shared" ca="1" si="2"/>
        <v>44293.616331734258</v>
      </c>
      <c r="I29" s="7">
        <f ca="1">'Guyton-Klinger_mkt_based_incrs'!F37</f>
        <v>105166.53763302976</v>
      </c>
    </row>
    <row r="30" spans="2:9" x14ac:dyDescent="0.35">
      <c r="B30" s="86">
        <f>'Guyton-Klinger_mkt_based_incrs'!B38</f>
        <v>100</v>
      </c>
      <c r="C30" s="88">
        <v>6.4</v>
      </c>
      <c r="D30" s="89">
        <f t="shared" si="0"/>
        <v>0.15625</v>
      </c>
      <c r="E30" s="101">
        <f ca="1">'Guyton-Klinger_mkt_based_incrs'!C38</f>
        <v>2822906.6409307877</v>
      </c>
      <c r="F30" s="90">
        <f t="shared" ca="1" si="1"/>
        <v>441079.16264543554</v>
      </c>
      <c r="G30" s="7">
        <f t="shared" ca="1" si="2"/>
        <v>52929.499517452263</v>
      </c>
      <c r="I30" s="7">
        <f ca="1">'Guyton-Klinger_mkt_based_incrs'!F38</f>
        <v>112875.7819943067</v>
      </c>
    </row>
    <row r="31" spans="2:9" x14ac:dyDescent="0.35">
      <c r="B31" s="86">
        <f>'Guyton-Klinger_mkt_based_incrs'!B39</f>
        <v>101</v>
      </c>
      <c r="C31" s="88">
        <v>6</v>
      </c>
      <c r="D31" s="89">
        <f t="shared" si="0"/>
        <v>0.16666666666666666</v>
      </c>
      <c r="E31" s="101">
        <f ca="1">'Guyton-Klinger_mkt_based_incrs'!C39</f>
        <v>3374276.7048448031</v>
      </c>
      <c r="F31" s="90">
        <f t="shared" ca="1" si="1"/>
        <v>562379.4508074671</v>
      </c>
      <c r="G31" s="7">
        <f t="shared" ca="1" si="2"/>
        <v>67485.534096896052</v>
      </c>
      <c r="I31" s="7">
        <f ca="1">'Guyton-Klinger_mkt_based_incrs'!F39</f>
        <v>112311.19615522822</v>
      </c>
    </row>
    <row r="32" spans="2:9" x14ac:dyDescent="0.35">
      <c r="B32" s="86">
        <f>'Guyton-Klinger_mkt_based_incrs'!B40</f>
        <v>102</v>
      </c>
      <c r="C32" s="88">
        <v>5.6</v>
      </c>
      <c r="D32" s="89">
        <f t="shared" si="0"/>
        <v>0.17857142857142858</v>
      </c>
      <c r="E32" s="101">
        <f ca="1">'Guyton-Klinger_mkt_based_incrs'!C40</f>
        <v>3920372.6722275093</v>
      </c>
      <c r="F32" s="90">
        <f t="shared" ca="1" si="1"/>
        <v>700066.54861205525</v>
      </c>
      <c r="G32" s="7">
        <f t="shared" ca="1" si="2"/>
        <v>84007.985833446626</v>
      </c>
      <c r="I32" s="7">
        <f ca="1">'Guyton-Klinger_mkt_based_incrs'!F40</f>
        <v>129658.70827510065</v>
      </c>
    </row>
    <row r="34" spans="6:6" x14ac:dyDescent="0.35">
      <c r="F34" s="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2BD4-1DC0-48F8-A742-FF4CBC18EBB1}">
  <sheetPr codeName="Sheet6"/>
  <dimension ref="A1:Y64"/>
  <sheetViews>
    <sheetView topLeftCell="B19" workbookViewId="0">
      <selection activeCell="AG12" sqref="AG12"/>
    </sheetView>
  </sheetViews>
  <sheetFormatPr defaultRowHeight="14.5" x14ac:dyDescent="0.35"/>
  <cols>
    <col min="17" max="17" width="12.26953125" bestFit="1" customWidth="1"/>
    <col min="18" max="18" width="13.1796875" customWidth="1"/>
    <col min="19" max="19" width="12.6328125" bestFit="1" customWidth="1"/>
    <col min="25" max="25" width="8.90625" bestFit="1" customWidth="1"/>
  </cols>
  <sheetData>
    <row r="1" spans="1:1" x14ac:dyDescent="0.35">
      <c r="A1" t="s">
        <v>113</v>
      </c>
    </row>
    <row r="38" spans="16:25" x14ac:dyDescent="0.35">
      <c r="R38" t="s">
        <v>250</v>
      </c>
    </row>
    <row r="40" spans="16:25" x14ac:dyDescent="0.35">
      <c r="P40" t="s">
        <v>245</v>
      </c>
      <c r="Q40" t="s">
        <v>246</v>
      </c>
      <c r="R40" t="s">
        <v>247</v>
      </c>
      <c r="S40" t="s">
        <v>248</v>
      </c>
      <c r="Y40" t="s">
        <v>355</v>
      </c>
    </row>
    <row r="41" spans="16:25" x14ac:dyDescent="0.35">
      <c r="P41">
        <v>61</v>
      </c>
      <c r="R41" s="5">
        <v>310000</v>
      </c>
      <c r="Y41" s="5">
        <f>orig_base*0.07</f>
        <v>21700.000000000004</v>
      </c>
    </row>
    <row r="42" spans="16:25" x14ac:dyDescent="0.35">
      <c r="P42" s="41" t="s">
        <v>319</v>
      </c>
      <c r="Q42" t="s">
        <v>316</v>
      </c>
      <c r="R42" s="5">
        <v>355049.77</v>
      </c>
      <c r="S42" s="5">
        <f>0.045*R42</f>
        <v>15977.23965</v>
      </c>
    </row>
    <row r="43" spans="16:25" x14ac:dyDescent="0.35">
      <c r="P43" s="41" t="s">
        <v>320</v>
      </c>
      <c r="Q43" t="s">
        <v>317</v>
      </c>
      <c r="R43" s="5">
        <f>orig_base*(1+3*0.07)</f>
        <v>375100</v>
      </c>
      <c r="S43" s="5">
        <f t="shared" ref="S43:S44" si="0">0.045*R43</f>
        <v>16879.5</v>
      </c>
    </row>
    <row r="44" spans="16:25" x14ac:dyDescent="0.35">
      <c r="P44" s="41" t="s">
        <v>321</v>
      </c>
      <c r="Q44" t="s">
        <v>318</v>
      </c>
      <c r="R44" s="5">
        <f>orig_base*(1+4*0.07)</f>
        <v>396800</v>
      </c>
      <c r="S44" s="5">
        <f t="shared" si="0"/>
        <v>17856</v>
      </c>
    </row>
    <row r="45" spans="16:25" x14ac:dyDescent="0.35">
      <c r="P45" s="41" t="s">
        <v>244</v>
      </c>
      <c r="Q45" t="s">
        <v>243</v>
      </c>
      <c r="R45" s="5">
        <f>orig_base*(1+5*0.07)</f>
        <v>418500</v>
      </c>
      <c r="S45" s="5">
        <f>0.054*R45</f>
        <v>22599</v>
      </c>
    </row>
    <row r="46" spans="16:25" x14ac:dyDescent="0.35">
      <c r="R46" s="5"/>
      <c r="S46" s="5"/>
    </row>
    <row r="49" spans="1:19" x14ac:dyDescent="0.35">
      <c r="S49" s="5"/>
    </row>
    <row r="64" spans="1:19" x14ac:dyDescent="0.35">
      <c r="A64" t="s">
        <v>315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DEF20-7C91-4189-9ADA-7F669EE91635}">
  <sheetPr codeName="Sheet7"/>
  <dimension ref="A1:J38"/>
  <sheetViews>
    <sheetView workbookViewId="0">
      <selection activeCell="AG12" sqref="AG12"/>
    </sheetView>
  </sheetViews>
  <sheetFormatPr defaultRowHeight="14.5" x14ac:dyDescent="0.35"/>
  <cols>
    <col min="1" max="1" width="8" bestFit="1" customWidth="1"/>
    <col min="2" max="2" width="12.08984375" bestFit="1" customWidth="1"/>
    <col min="3" max="4" width="8.453125" bestFit="1" customWidth="1"/>
    <col min="5" max="5" width="22.90625" bestFit="1" customWidth="1"/>
    <col min="6" max="6" width="6.26953125" bestFit="1" customWidth="1"/>
    <col min="7" max="7" width="14.7265625" bestFit="1" customWidth="1"/>
  </cols>
  <sheetData>
    <row r="1" spans="1:10" ht="31" customHeight="1" x14ac:dyDescent="0.35">
      <c r="A1" s="111" t="s">
        <v>179</v>
      </c>
      <c r="B1" s="111" t="s">
        <v>180</v>
      </c>
      <c r="C1" s="111" t="s">
        <v>181</v>
      </c>
      <c r="D1" s="111" t="s">
        <v>183</v>
      </c>
      <c r="E1" s="111" t="s">
        <v>182</v>
      </c>
      <c r="F1" s="156" t="s">
        <v>349</v>
      </c>
      <c r="G1" s="111" t="s">
        <v>184</v>
      </c>
    </row>
    <row r="2" spans="1:10" x14ac:dyDescent="0.35">
      <c r="A2">
        <v>2025</v>
      </c>
      <c r="B2">
        <v>64</v>
      </c>
      <c r="C2">
        <v>63</v>
      </c>
      <c r="D2">
        <v>0</v>
      </c>
      <c r="E2" s="157"/>
      <c r="F2">
        <v>0</v>
      </c>
      <c r="G2" s="7">
        <v>31500</v>
      </c>
      <c r="J2" t="s">
        <v>185</v>
      </c>
    </row>
    <row r="3" spans="1:10" x14ac:dyDescent="0.35">
      <c r="A3">
        <v>2026</v>
      </c>
      <c r="B3">
        <v>65</v>
      </c>
      <c r="C3">
        <v>64</v>
      </c>
      <c r="D3" s="7">
        <v>1650</v>
      </c>
      <c r="E3" s="140">
        <v>32200</v>
      </c>
      <c r="F3">
        <v>4800</v>
      </c>
      <c r="G3" s="140">
        <v>38650</v>
      </c>
      <c r="J3" t="s">
        <v>350</v>
      </c>
    </row>
    <row r="4" spans="1:10" x14ac:dyDescent="0.35">
      <c r="A4">
        <v>2027</v>
      </c>
      <c r="B4">
        <v>66</v>
      </c>
      <c r="C4">
        <v>65</v>
      </c>
      <c r="D4" s="7">
        <v>3400</v>
      </c>
      <c r="E4" s="140">
        <v>32900</v>
      </c>
      <c r="F4">
        <v>9756</v>
      </c>
      <c r="G4" s="140">
        <v>46056</v>
      </c>
    </row>
    <row r="5" spans="1:10" x14ac:dyDescent="0.35">
      <c r="A5">
        <v>2028</v>
      </c>
      <c r="B5">
        <v>67</v>
      </c>
      <c r="C5">
        <v>66</v>
      </c>
      <c r="D5" s="7">
        <v>3500</v>
      </c>
      <c r="E5" s="140">
        <v>33650</v>
      </c>
      <c r="F5">
        <v>9486</v>
      </c>
      <c r="G5" s="140">
        <v>46636</v>
      </c>
    </row>
    <row r="6" spans="1:10" x14ac:dyDescent="0.35">
      <c r="A6">
        <v>2029</v>
      </c>
      <c r="B6">
        <v>68</v>
      </c>
      <c r="C6">
        <v>67</v>
      </c>
      <c r="D6" s="7">
        <v>3200</v>
      </c>
      <c r="E6" s="140">
        <v>34400</v>
      </c>
      <c r="F6">
        <v>0</v>
      </c>
      <c r="G6" s="140">
        <v>37600</v>
      </c>
    </row>
    <row r="7" spans="1:10" x14ac:dyDescent="0.35">
      <c r="A7">
        <v>2030</v>
      </c>
      <c r="B7">
        <v>69</v>
      </c>
      <c r="C7">
        <v>68</v>
      </c>
      <c r="D7" s="140">
        <v>3300</v>
      </c>
      <c r="E7" s="140">
        <v>35150</v>
      </c>
      <c r="F7">
        <v>0</v>
      </c>
      <c r="G7" s="140">
        <v>38450</v>
      </c>
    </row>
    <row r="8" spans="1:10" x14ac:dyDescent="0.35">
      <c r="A8">
        <v>2031</v>
      </c>
      <c r="B8">
        <v>70</v>
      </c>
      <c r="C8">
        <v>69</v>
      </c>
      <c r="D8" s="140">
        <v>3400</v>
      </c>
      <c r="E8" s="140">
        <v>35950</v>
      </c>
      <c r="F8">
        <v>0</v>
      </c>
      <c r="G8" s="140">
        <v>39350</v>
      </c>
    </row>
    <row r="9" spans="1:10" x14ac:dyDescent="0.35">
      <c r="A9">
        <v>2032</v>
      </c>
      <c r="B9">
        <v>71</v>
      </c>
      <c r="C9">
        <v>70</v>
      </c>
      <c r="D9" s="140">
        <v>3500</v>
      </c>
      <c r="E9" s="140">
        <v>36750</v>
      </c>
      <c r="F9">
        <v>0</v>
      </c>
      <c r="G9" s="140">
        <v>40250</v>
      </c>
    </row>
    <row r="10" spans="1:10" x14ac:dyDescent="0.35">
      <c r="A10">
        <v>2033</v>
      </c>
      <c r="B10">
        <v>72</v>
      </c>
      <c r="C10">
        <v>71</v>
      </c>
      <c r="D10" s="140">
        <v>3600</v>
      </c>
      <c r="E10" s="140">
        <v>37600</v>
      </c>
      <c r="F10">
        <v>0</v>
      </c>
      <c r="G10" s="140">
        <v>41200</v>
      </c>
    </row>
    <row r="11" spans="1:10" x14ac:dyDescent="0.35">
      <c r="A11">
        <v>2034</v>
      </c>
      <c r="B11">
        <v>73</v>
      </c>
      <c r="C11">
        <v>72</v>
      </c>
      <c r="D11" s="140">
        <v>3700</v>
      </c>
      <c r="E11" s="140">
        <v>38450</v>
      </c>
      <c r="F11">
        <v>0</v>
      </c>
      <c r="G11" s="140">
        <v>42150</v>
      </c>
    </row>
    <row r="12" spans="1:10" x14ac:dyDescent="0.35">
      <c r="A12">
        <v>2035</v>
      </c>
      <c r="B12">
        <v>74</v>
      </c>
      <c r="C12">
        <v>73</v>
      </c>
      <c r="D12" s="140">
        <v>3800</v>
      </c>
      <c r="E12" s="140">
        <v>39300</v>
      </c>
      <c r="F12">
        <v>0</v>
      </c>
      <c r="G12" s="140">
        <v>43100</v>
      </c>
    </row>
    <row r="13" spans="1:10" x14ac:dyDescent="0.35">
      <c r="A13">
        <v>2036</v>
      </c>
      <c r="B13">
        <v>75</v>
      </c>
      <c r="C13">
        <v>74</v>
      </c>
      <c r="D13" s="140">
        <v>3900</v>
      </c>
      <c r="E13" s="140">
        <v>40150</v>
      </c>
      <c r="F13">
        <v>0</v>
      </c>
      <c r="G13" s="140">
        <v>44050</v>
      </c>
    </row>
    <row r="14" spans="1:10" x14ac:dyDescent="0.35">
      <c r="A14">
        <v>2037</v>
      </c>
      <c r="B14">
        <v>76</v>
      </c>
      <c r="C14">
        <v>75</v>
      </c>
      <c r="D14" s="140">
        <v>4000</v>
      </c>
      <c r="E14" s="140">
        <v>41050</v>
      </c>
      <c r="F14">
        <v>0</v>
      </c>
      <c r="G14" s="140">
        <v>45050</v>
      </c>
    </row>
    <row r="15" spans="1:10" x14ac:dyDescent="0.35">
      <c r="A15">
        <v>2038</v>
      </c>
      <c r="B15">
        <v>77</v>
      </c>
      <c r="C15">
        <v>76</v>
      </c>
      <c r="D15" s="140">
        <v>4100</v>
      </c>
      <c r="E15" s="140">
        <v>42000</v>
      </c>
      <c r="F15">
        <v>0</v>
      </c>
      <c r="G15" s="140">
        <v>46050</v>
      </c>
    </row>
    <row r="16" spans="1:10" x14ac:dyDescent="0.35">
      <c r="A16">
        <v>2039</v>
      </c>
      <c r="B16">
        <v>78</v>
      </c>
      <c r="C16">
        <v>77</v>
      </c>
      <c r="D16" s="140">
        <v>4200</v>
      </c>
      <c r="E16" s="140">
        <v>42950</v>
      </c>
      <c r="F16">
        <v>0</v>
      </c>
      <c r="G16" s="140">
        <v>47100</v>
      </c>
    </row>
    <row r="17" spans="1:7" x14ac:dyDescent="0.35">
      <c r="A17">
        <v>2040</v>
      </c>
      <c r="B17">
        <v>79</v>
      </c>
      <c r="C17">
        <v>78</v>
      </c>
      <c r="D17" s="140">
        <v>4300</v>
      </c>
      <c r="E17" s="140">
        <v>43900</v>
      </c>
      <c r="F17">
        <v>0</v>
      </c>
      <c r="G17" s="140">
        <v>48150</v>
      </c>
    </row>
    <row r="18" spans="1:7" x14ac:dyDescent="0.35">
      <c r="A18">
        <v>2041</v>
      </c>
      <c r="B18">
        <v>80</v>
      </c>
      <c r="C18">
        <v>79</v>
      </c>
      <c r="D18" s="140">
        <v>4400</v>
      </c>
      <c r="E18" s="140">
        <v>44900</v>
      </c>
      <c r="F18">
        <v>0</v>
      </c>
      <c r="G18" s="140">
        <v>49250</v>
      </c>
    </row>
    <row r="19" spans="1:7" x14ac:dyDescent="0.35">
      <c r="A19">
        <v>2042</v>
      </c>
      <c r="B19">
        <v>81</v>
      </c>
      <c r="C19">
        <v>80</v>
      </c>
      <c r="D19" s="140">
        <v>4500</v>
      </c>
      <c r="E19" s="140">
        <v>45900</v>
      </c>
      <c r="F19">
        <v>0</v>
      </c>
      <c r="G19" s="140">
        <v>50400</v>
      </c>
    </row>
    <row r="20" spans="1:7" x14ac:dyDescent="0.35">
      <c r="A20">
        <v>2043</v>
      </c>
      <c r="B20">
        <v>82</v>
      </c>
      <c r="C20">
        <v>81</v>
      </c>
      <c r="D20" s="140">
        <v>4600</v>
      </c>
      <c r="E20" s="140">
        <v>46950</v>
      </c>
      <c r="F20">
        <v>0</v>
      </c>
      <c r="G20" s="140">
        <v>51550</v>
      </c>
    </row>
    <row r="21" spans="1:7" x14ac:dyDescent="0.35">
      <c r="A21">
        <v>2044</v>
      </c>
      <c r="B21">
        <v>83</v>
      </c>
      <c r="C21">
        <v>82</v>
      </c>
      <c r="D21" s="140">
        <v>4700</v>
      </c>
      <c r="E21" s="140">
        <v>48000</v>
      </c>
      <c r="F21">
        <v>0</v>
      </c>
      <c r="G21" s="140">
        <v>52750</v>
      </c>
    </row>
    <row r="22" spans="1:7" x14ac:dyDescent="0.35">
      <c r="A22">
        <v>2045</v>
      </c>
      <c r="B22">
        <v>84</v>
      </c>
      <c r="C22">
        <v>83</v>
      </c>
      <c r="D22" s="140">
        <v>4800</v>
      </c>
      <c r="E22" s="140">
        <v>49100</v>
      </c>
      <c r="F22">
        <v>0</v>
      </c>
      <c r="G22" s="140">
        <v>53950</v>
      </c>
    </row>
    <row r="23" spans="1:7" x14ac:dyDescent="0.35">
      <c r="A23">
        <v>2046</v>
      </c>
      <c r="B23">
        <v>85</v>
      </c>
      <c r="C23">
        <v>84</v>
      </c>
      <c r="D23" s="140">
        <v>4900</v>
      </c>
      <c r="E23" s="140">
        <v>50200</v>
      </c>
      <c r="F23">
        <v>0</v>
      </c>
      <c r="G23" s="140">
        <v>55200</v>
      </c>
    </row>
    <row r="24" spans="1:7" x14ac:dyDescent="0.35">
      <c r="A24">
        <v>2047</v>
      </c>
      <c r="B24">
        <v>86</v>
      </c>
      <c r="C24">
        <v>85</v>
      </c>
      <c r="D24" s="140">
        <v>5000</v>
      </c>
      <c r="E24" s="140">
        <v>51300</v>
      </c>
      <c r="F24">
        <v>0</v>
      </c>
      <c r="G24" s="140">
        <v>56450</v>
      </c>
    </row>
    <row r="25" spans="1:7" x14ac:dyDescent="0.35">
      <c r="A25">
        <v>2048</v>
      </c>
      <c r="B25">
        <v>87</v>
      </c>
      <c r="C25">
        <v>86</v>
      </c>
      <c r="D25" s="140">
        <v>5100</v>
      </c>
      <c r="E25" s="140">
        <v>52450</v>
      </c>
      <c r="F25">
        <v>0</v>
      </c>
      <c r="G25" s="140">
        <v>57750</v>
      </c>
    </row>
    <row r="26" spans="1:7" x14ac:dyDescent="0.35">
      <c r="A26">
        <v>2049</v>
      </c>
      <c r="B26">
        <v>88</v>
      </c>
      <c r="C26">
        <v>87</v>
      </c>
      <c r="D26" s="140">
        <v>5200</v>
      </c>
      <c r="E26" s="140">
        <v>53600</v>
      </c>
      <c r="F26">
        <v>0</v>
      </c>
      <c r="G26" s="140">
        <v>59050</v>
      </c>
    </row>
    <row r="27" spans="1:7" x14ac:dyDescent="0.35">
      <c r="A27">
        <v>2050</v>
      </c>
      <c r="B27">
        <v>89</v>
      </c>
      <c r="C27">
        <v>88</v>
      </c>
      <c r="D27" s="140">
        <v>5300</v>
      </c>
      <c r="E27" s="140">
        <v>54800</v>
      </c>
      <c r="F27">
        <v>0</v>
      </c>
      <c r="G27" s="140">
        <v>60400</v>
      </c>
    </row>
    <row r="28" spans="1:7" x14ac:dyDescent="0.35">
      <c r="A28">
        <v>2051</v>
      </c>
      <c r="B28">
        <v>90</v>
      </c>
      <c r="C28">
        <v>89</v>
      </c>
      <c r="D28" s="140">
        <v>5500</v>
      </c>
      <c r="E28" s="140">
        <v>56050</v>
      </c>
      <c r="F28">
        <v>0</v>
      </c>
      <c r="G28" s="140">
        <v>61800</v>
      </c>
    </row>
    <row r="29" spans="1:7" x14ac:dyDescent="0.35">
      <c r="A29">
        <v>2052</v>
      </c>
      <c r="B29">
        <v>91</v>
      </c>
      <c r="C29">
        <v>90</v>
      </c>
      <c r="D29" s="140">
        <v>5600</v>
      </c>
      <c r="E29" s="140">
        <v>57300</v>
      </c>
      <c r="F29">
        <v>0</v>
      </c>
      <c r="G29" s="140">
        <v>63200</v>
      </c>
    </row>
    <row r="30" spans="1:7" x14ac:dyDescent="0.35">
      <c r="A30">
        <v>2053</v>
      </c>
      <c r="B30">
        <v>92</v>
      </c>
      <c r="C30">
        <v>91</v>
      </c>
      <c r="D30" s="140">
        <v>5700</v>
      </c>
      <c r="E30" s="140">
        <v>58600</v>
      </c>
      <c r="F30">
        <v>0</v>
      </c>
      <c r="G30" s="140">
        <v>64600</v>
      </c>
    </row>
    <row r="31" spans="1:7" x14ac:dyDescent="0.35">
      <c r="A31">
        <v>2054</v>
      </c>
      <c r="B31">
        <v>93</v>
      </c>
      <c r="C31">
        <v>92</v>
      </c>
      <c r="D31" s="140">
        <v>5800</v>
      </c>
      <c r="E31" s="140">
        <v>59900</v>
      </c>
      <c r="F31">
        <v>0</v>
      </c>
      <c r="G31" s="140">
        <v>66100</v>
      </c>
    </row>
    <row r="32" spans="1:7" x14ac:dyDescent="0.35">
      <c r="A32">
        <v>2055</v>
      </c>
      <c r="B32">
        <v>94</v>
      </c>
      <c r="C32">
        <v>93</v>
      </c>
      <c r="D32" s="140">
        <v>5900</v>
      </c>
      <c r="E32" s="140">
        <v>61250</v>
      </c>
      <c r="F32">
        <v>0</v>
      </c>
      <c r="G32" s="140">
        <v>67600</v>
      </c>
    </row>
    <row r="33" spans="1:7" x14ac:dyDescent="0.35">
      <c r="A33">
        <v>2056</v>
      </c>
      <c r="B33">
        <v>95</v>
      </c>
      <c r="C33">
        <v>94</v>
      </c>
      <c r="D33" s="140">
        <v>6100</v>
      </c>
      <c r="E33" s="140">
        <v>62600</v>
      </c>
      <c r="F33">
        <v>0</v>
      </c>
      <c r="G33" s="140">
        <v>69100</v>
      </c>
    </row>
    <row r="34" spans="1:7" x14ac:dyDescent="0.35">
      <c r="A34">
        <v>2057</v>
      </c>
      <c r="B34">
        <v>96</v>
      </c>
      <c r="C34">
        <v>95</v>
      </c>
      <c r="D34" s="140">
        <v>6200</v>
      </c>
      <c r="E34" s="140">
        <v>64000</v>
      </c>
      <c r="F34">
        <v>0</v>
      </c>
      <c r="G34" s="140">
        <v>70700</v>
      </c>
    </row>
    <row r="35" spans="1:7" x14ac:dyDescent="0.35">
      <c r="A35">
        <v>2058</v>
      </c>
      <c r="B35">
        <v>97</v>
      </c>
      <c r="C35">
        <v>96</v>
      </c>
      <c r="D35" s="140">
        <v>6300</v>
      </c>
      <c r="E35" s="140">
        <v>65450</v>
      </c>
      <c r="F35">
        <v>0</v>
      </c>
      <c r="G35" s="140">
        <v>72300</v>
      </c>
    </row>
    <row r="36" spans="1:7" x14ac:dyDescent="0.35">
      <c r="A36">
        <v>2059</v>
      </c>
      <c r="B36">
        <v>98</v>
      </c>
      <c r="C36">
        <v>97</v>
      </c>
      <c r="D36" s="140">
        <v>6500</v>
      </c>
      <c r="E36" s="140">
        <v>66900</v>
      </c>
      <c r="F36">
        <v>0</v>
      </c>
      <c r="G36" s="140">
        <v>73900</v>
      </c>
    </row>
    <row r="37" spans="1:7" x14ac:dyDescent="0.35">
      <c r="A37">
        <v>2060</v>
      </c>
      <c r="B37">
        <v>99</v>
      </c>
      <c r="C37">
        <v>98</v>
      </c>
      <c r="D37" s="140">
        <v>6600</v>
      </c>
      <c r="E37" s="140">
        <v>68400</v>
      </c>
      <c r="F37">
        <v>0</v>
      </c>
      <c r="G37" s="140">
        <v>75600</v>
      </c>
    </row>
    <row r="38" spans="1:7" x14ac:dyDescent="0.35">
      <c r="A38">
        <v>2061</v>
      </c>
      <c r="B38">
        <v>100</v>
      </c>
      <c r="C38">
        <v>99</v>
      </c>
      <c r="D38" s="140">
        <v>6800</v>
      </c>
      <c r="E38" s="140">
        <v>69950</v>
      </c>
      <c r="F38">
        <v>0</v>
      </c>
      <c r="G38" s="140">
        <v>77300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C6EA-BAAF-46A6-A624-8482E3FA9E89}">
  <dimension ref="A1:V43"/>
  <sheetViews>
    <sheetView workbookViewId="0">
      <selection activeCell="AG12" sqref="AG12"/>
    </sheetView>
  </sheetViews>
  <sheetFormatPr defaultRowHeight="14.5" x14ac:dyDescent="0.35"/>
  <cols>
    <col min="1" max="1" width="13.90625" customWidth="1"/>
    <col min="2" max="2" width="13.7265625" customWidth="1"/>
    <col min="3" max="3" width="12.26953125" customWidth="1"/>
    <col min="14" max="14" width="8.7265625" customWidth="1"/>
    <col min="15" max="15" width="24.6328125" customWidth="1"/>
    <col min="16" max="16" width="10.90625" customWidth="1"/>
  </cols>
  <sheetData>
    <row r="1" spans="1:19" ht="17.5" x14ac:dyDescent="0.35">
      <c r="A1" s="121" t="s">
        <v>267</v>
      </c>
      <c r="N1" s="121" t="s">
        <v>281</v>
      </c>
    </row>
    <row r="3" spans="1:19" ht="72.5" customHeight="1" x14ac:dyDescent="0.35">
      <c r="A3" s="261" t="s">
        <v>268</v>
      </c>
      <c r="B3" s="261"/>
      <c r="C3" s="261"/>
      <c r="D3" s="261"/>
      <c r="E3" s="261"/>
      <c r="F3" s="261"/>
      <c r="N3" s="261" t="s">
        <v>282</v>
      </c>
      <c r="O3" s="261"/>
      <c r="P3" s="261"/>
      <c r="Q3" s="261"/>
      <c r="R3" s="261"/>
      <c r="S3" s="261"/>
    </row>
    <row r="4" spans="1:19" ht="29.5" customHeight="1" x14ac:dyDescent="0.35">
      <c r="N4" s="261" t="s">
        <v>283</v>
      </c>
      <c r="O4" s="261"/>
      <c r="P4" s="261"/>
      <c r="Q4" s="261"/>
      <c r="R4" s="261"/>
      <c r="S4" s="261"/>
    </row>
    <row r="5" spans="1:19" x14ac:dyDescent="0.35">
      <c r="A5" t="s">
        <v>278</v>
      </c>
    </row>
    <row r="7" spans="1:19" ht="43.5" hidden="1" customHeight="1" x14ac:dyDescent="0.35">
      <c r="A7" s="122" t="s">
        <v>269</v>
      </c>
      <c r="B7" s="122" t="s">
        <v>270</v>
      </c>
      <c r="N7" s="122" t="s">
        <v>269</v>
      </c>
      <c r="O7" s="122" t="s">
        <v>284</v>
      </c>
    </row>
    <row r="8" spans="1:19" ht="15.5" hidden="1" customHeight="1" x14ac:dyDescent="0.35">
      <c r="A8" s="123">
        <v>0.1</v>
      </c>
      <c r="B8" s="124" t="s">
        <v>271</v>
      </c>
      <c r="N8" s="123">
        <v>0.1</v>
      </c>
      <c r="O8" s="124" t="s">
        <v>285</v>
      </c>
    </row>
    <row r="9" spans="1:19" ht="15.5" hidden="1" customHeight="1" x14ac:dyDescent="0.35">
      <c r="A9" s="123">
        <v>0.12</v>
      </c>
      <c r="B9" s="124" t="s">
        <v>272</v>
      </c>
      <c r="N9" s="123">
        <v>0.12</v>
      </c>
      <c r="O9" s="124" t="s">
        <v>286</v>
      </c>
    </row>
    <row r="10" spans="1:19" ht="15.5" hidden="1" customHeight="1" x14ac:dyDescent="0.35">
      <c r="A10" s="123">
        <v>0.22</v>
      </c>
      <c r="B10" s="124" t="s">
        <v>273</v>
      </c>
      <c r="N10" s="123">
        <v>0.22</v>
      </c>
      <c r="O10" s="124" t="s">
        <v>287</v>
      </c>
    </row>
    <row r="11" spans="1:19" ht="15.5" hidden="1" customHeight="1" x14ac:dyDescent="0.35">
      <c r="A11" s="123">
        <v>0.24</v>
      </c>
      <c r="B11" s="124" t="s">
        <v>274</v>
      </c>
      <c r="N11" s="123">
        <v>0.24</v>
      </c>
      <c r="O11" s="124" t="s">
        <v>288</v>
      </c>
    </row>
    <row r="12" spans="1:19" ht="15.5" hidden="1" customHeight="1" x14ac:dyDescent="0.35">
      <c r="A12" s="123">
        <v>0.32</v>
      </c>
      <c r="B12" s="124" t="s">
        <v>275</v>
      </c>
      <c r="N12" s="123">
        <v>0.32</v>
      </c>
      <c r="O12" s="124" t="s">
        <v>289</v>
      </c>
    </row>
    <row r="13" spans="1:19" ht="15.5" hidden="1" customHeight="1" x14ac:dyDescent="0.35">
      <c r="A13" s="123">
        <v>0.35</v>
      </c>
      <c r="B13" s="124" t="s">
        <v>276</v>
      </c>
      <c r="N13" s="123">
        <v>0.35</v>
      </c>
      <c r="O13" s="124" t="s">
        <v>290</v>
      </c>
    </row>
    <row r="14" spans="1:19" ht="15.5" hidden="1" customHeight="1" x14ac:dyDescent="0.35">
      <c r="A14" s="123">
        <v>0.37</v>
      </c>
      <c r="B14" s="124" t="s">
        <v>277</v>
      </c>
      <c r="N14" s="123">
        <v>0.37</v>
      </c>
      <c r="O14" s="124" t="s">
        <v>291</v>
      </c>
    </row>
    <row r="15" spans="1:19" ht="15" thickBot="1" x14ac:dyDescent="0.4"/>
    <row r="16" spans="1:19" ht="15" thickBot="1" x14ac:dyDescent="0.4">
      <c r="N16" s="192" t="s">
        <v>269</v>
      </c>
      <c r="O16" s="193" t="s">
        <v>270</v>
      </c>
      <c r="P16" s="175"/>
    </row>
    <row r="17" spans="1:22" x14ac:dyDescent="0.35">
      <c r="A17" s="187" t="s">
        <v>279</v>
      </c>
      <c r="B17" s="174"/>
      <c r="C17" s="175"/>
      <c r="N17" s="190">
        <v>0.1</v>
      </c>
      <c r="O17" s="7">
        <v>0</v>
      </c>
      <c r="P17" s="194">
        <v>24800</v>
      </c>
    </row>
    <row r="18" spans="1:22" x14ac:dyDescent="0.35">
      <c r="A18" s="188"/>
      <c r="C18" s="177"/>
      <c r="N18" s="190">
        <v>0.12</v>
      </c>
      <c r="O18" s="7">
        <v>24801</v>
      </c>
      <c r="P18" s="194">
        <v>100800</v>
      </c>
    </row>
    <row r="19" spans="1:22" ht="25" customHeight="1" x14ac:dyDescent="0.35">
      <c r="A19" s="189" t="s">
        <v>356</v>
      </c>
      <c r="B19" s="122" t="s">
        <v>270</v>
      </c>
      <c r="C19" s="177"/>
      <c r="N19" s="190">
        <v>0.22</v>
      </c>
      <c r="O19" s="7">
        <v>100801</v>
      </c>
      <c r="P19" s="194">
        <v>211400</v>
      </c>
    </row>
    <row r="20" spans="1:22" ht="16" customHeight="1" x14ac:dyDescent="0.35">
      <c r="A20" s="190">
        <v>0.1</v>
      </c>
      <c r="B20" s="146">
        <v>0</v>
      </c>
      <c r="C20" s="229">
        <v>23850</v>
      </c>
      <c r="N20" s="190">
        <v>0.24</v>
      </c>
      <c r="O20" s="7">
        <v>211401</v>
      </c>
      <c r="P20" s="194">
        <v>403550</v>
      </c>
    </row>
    <row r="21" spans="1:22" ht="16" customHeight="1" x14ac:dyDescent="0.35">
      <c r="A21" s="190">
        <v>0.12</v>
      </c>
      <c r="B21" s="146">
        <v>23851</v>
      </c>
      <c r="C21" s="229">
        <v>96950</v>
      </c>
      <c r="N21" s="190">
        <v>0.32</v>
      </c>
      <c r="O21" s="7">
        <v>403551</v>
      </c>
      <c r="P21" s="194">
        <v>512450</v>
      </c>
    </row>
    <row r="22" spans="1:22" ht="16" customHeight="1" x14ac:dyDescent="0.35">
      <c r="A22" s="190">
        <v>0.22</v>
      </c>
      <c r="B22" s="165">
        <v>96951</v>
      </c>
      <c r="C22" s="229">
        <v>206700</v>
      </c>
      <c r="N22" s="190">
        <v>0.35</v>
      </c>
      <c r="O22" s="7">
        <v>512451</v>
      </c>
      <c r="P22" s="194">
        <v>768700</v>
      </c>
    </row>
    <row r="23" spans="1:22" ht="16" customHeight="1" thickBot="1" x14ac:dyDescent="0.4">
      <c r="A23" s="190">
        <v>0.24</v>
      </c>
      <c r="B23" s="146">
        <v>206701</v>
      </c>
      <c r="C23" s="229">
        <v>394600</v>
      </c>
      <c r="N23" s="191">
        <v>0.37</v>
      </c>
      <c r="O23" s="195">
        <v>768700</v>
      </c>
      <c r="P23" s="196">
        <v>999999999</v>
      </c>
    </row>
    <row r="24" spans="1:22" ht="16" customHeight="1" x14ac:dyDescent="0.35">
      <c r="A24" s="190">
        <v>0.32</v>
      </c>
      <c r="B24" s="146">
        <v>394601</v>
      </c>
      <c r="C24" s="229">
        <v>501050</v>
      </c>
    </row>
    <row r="25" spans="1:22" ht="16" customHeight="1" x14ac:dyDescent="0.35">
      <c r="A25" s="190">
        <v>0.35</v>
      </c>
      <c r="B25" s="146">
        <v>501051</v>
      </c>
      <c r="C25" s="229">
        <v>751600</v>
      </c>
    </row>
    <row r="26" spans="1:22" ht="16" customHeight="1" thickBot="1" x14ac:dyDescent="0.4">
      <c r="A26" s="191">
        <v>0.37</v>
      </c>
      <c r="B26" s="230">
        <v>751601</v>
      </c>
      <c r="C26" s="231">
        <v>999999999</v>
      </c>
    </row>
    <row r="27" spans="1:22" ht="15" thickBot="1" x14ac:dyDescent="0.4"/>
    <row r="28" spans="1:22" ht="15" thickBot="1" x14ac:dyDescent="0.4">
      <c r="N28" s="181" t="s">
        <v>295</v>
      </c>
      <c r="O28" s="174"/>
      <c r="P28" s="175"/>
      <c r="R28" s="158" t="s">
        <v>389</v>
      </c>
      <c r="S28" s="155"/>
      <c r="T28" s="155"/>
      <c r="U28" s="155"/>
      <c r="V28" s="148"/>
    </row>
    <row r="29" spans="1:22" ht="43.5" x14ac:dyDescent="0.35">
      <c r="A29" s="181" t="s">
        <v>280</v>
      </c>
      <c r="B29" s="174"/>
      <c r="C29" s="175"/>
      <c r="N29" s="182" t="s">
        <v>296</v>
      </c>
      <c r="O29" s="126" t="s">
        <v>297</v>
      </c>
      <c r="P29" s="183" t="s">
        <v>298</v>
      </c>
      <c r="R29" s="232" t="s">
        <v>390</v>
      </c>
      <c r="S29" s="126" t="s">
        <v>391</v>
      </c>
      <c r="T29" s="126" t="s">
        <v>392</v>
      </c>
      <c r="V29" s="150"/>
    </row>
    <row r="30" spans="1:22" ht="14.5" customHeight="1" x14ac:dyDescent="0.35">
      <c r="A30" s="178" t="s">
        <v>345</v>
      </c>
      <c r="C30" s="177">
        <v>15000</v>
      </c>
      <c r="N30" s="274" t="s">
        <v>299</v>
      </c>
      <c r="O30" s="124" t="s">
        <v>300</v>
      </c>
      <c r="P30" s="184">
        <v>0</v>
      </c>
      <c r="R30" s="152">
        <v>32200</v>
      </c>
      <c r="S30" s="152">
        <v>1650</v>
      </c>
      <c r="T30" s="152">
        <v>6000</v>
      </c>
      <c r="U30" s="167"/>
      <c r="V30" s="154"/>
    </row>
    <row r="31" spans="1:22" x14ac:dyDescent="0.35">
      <c r="A31" s="178" t="s">
        <v>299</v>
      </c>
      <c r="C31" s="177">
        <v>30000</v>
      </c>
      <c r="N31" s="274"/>
      <c r="O31" s="124" t="s">
        <v>301</v>
      </c>
      <c r="P31" s="184">
        <v>0.5</v>
      </c>
    </row>
    <row r="32" spans="1:22" ht="15" thickBot="1" x14ac:dyDescent="0.4">
      <c r="A32" s="179" t="s">
        <v>346</v>
      </c>
      <c r="B32" s="173"/>
      <c r="C32" s="180">
        <v>22500</v>
      </c>
      <c r="N32" s="275"/>
      <c r="O32" s="185" t="s">
        <v>302</v>
      </c>
      <c r="P32" s="186">
        <v>0.85</v>
      </c>
    </row>
    <row r="33" spans="1:21" x14ac:dyDescent="0.35">
      <c r="N33" s="124"/>
    </row>
    <row r="34" spans="1:21" ht="15" thickBot="1" x14ac:dyDescent="0.4">
      <c r="N34" s="124"/>
    </row>
    <row r="35" spans="1:21" x14ac:dyDescent="0.35">
      <c r="A35" s="276" t="s">
        <v>341</v>
      </c>
      <c r="B35" s="277"/>
      <c r="C35" s="174" t="s">
        <v>372</v>
      </c>
      <c r="D35" s="174" t="s">
        <v>371</v>
      </c>
      <c r="E35" s="174" t="s">
        <v>374</v>
      </c>
      <c r="F35" s="174" t="s">
        <v>373</v>
      </c>
      <c r="G35" s="174"/>
      <c r="H35" s="175"/>
      <c r="N35" s="276" t="s">
        <v>379</v>
      </c>
      <c r="O35" s="277"/>
      <c r="P35" s="174" t="s">
        <v>372</v>
      </c>
      <c r="Q35" s="174" t="s">
        <v>371</v>
      </c>
      <c r="R35" s="174" t="s">
        <v>374</v>
      </c>
      <c r="S35" s="174" t="s">
        <v>373</v>
      </c>
      <c r="T35" s="174"/>
      <c r="U35" s="175"/>
    </row>
    <row r="36" spans="1:21" x14ac:dyDescent="0.35">
      <c r="A36" s="176" t="s">
        <v>381</v>
      </c>
      <c r="C36" t="s">
        <v>377</v>
      </c>
      <c r="D36" t="s">
        <v>376</v>
      </c>
      <c r="E36" t="s">
        <v>375</v>
      </c>
      <c r="F36" t="s">
        <v>378</v>
      </c>
      <c r="H36" s="177"/>
      <c r="N36" s="176" t="s">
        <v>380</v>
      </c>
      <c r="P36" t="s">
        <v>377</v>
      </c>
      <c r="Q36" t="s">
        <v>376</v>
      </c>
      <c r="R36" t="s">
        <v>375</v>
      </c>
      <c r="S36" t="s">
        <v>378</v>
      </c>
      <c r="U36" s="177"/>
    </row>
    <row r="37" spans="1:21" x14ac:dyDescent="0.35">
      <c r="A37" s="178"/>
      <c r="H37" s="208" t="s">
        <v>358</v>
      </c>
      <c r="N37" s="178"/>
      <c r="U37" s="208" t="s">
        <v>358</v>
      </c>
    </row>
    <row r="38" spans="1:21" x14ac:dyDescent="0.35">
      <c r="A38" s="209">
        <v>0</v>
      </c>
      <c r="B38" s="141">
        <v>212000</v>
      </c>
      <c r="C38" s="215">
        <v>0</v>
      </c>
      <c r="D38" s="5">
        <v>185</v>
      </c>
      <c r="F38" s="5">
        <v>0</v>
      </c>
      <c r="G38" s="5"/>
      <c r="H38" s="213">
        <f>(D38+C38+F38)*2*12</f>
        <v>4440</v>
      </c>
      <c r="N38" s="209">
        <v>0</v>
      </c>
      <c r="O38" s="141">
        <v>218000</v>
      </c>
      <c r="P38">
        <v>0</v>
      </c>
      <c r="Q38" s="5">
        <v>202.9</v>
      </c>
      <c r="S38" s="5">
        <v>0</v>
      </c>
      <c r="T38" s="5"/>
      <c r="U38" s="213">
        <f>(Q38+P38+S38)*2*12</f>
        <v>4869.6000000000004</v>
      </c>
    </row>
    <row r="39" spans="1:21" x14ac:dyDescent="0.35">
      <c r="A39" s="209">
        <v>212001</v>
      </c>
      <c r="B39" s="141">
        <v>266000</v>
      </c>
      <c r="C39" s="215">
        <v>74</v>
      </c>
      <c r="D39" s="5">
        <v>259</v>
      </c>
      <c r="F39" s="5">
        <v>13.7</v>
      </c>
      <c r="G39" s="5"/>
      <c r="H39" s="213">
        <f>(D39+C39+F39)*2*12</f>
        <v>8320.7999999999993</v>
      </c>
      <c r="N39" s="209">
        <v>218001</v>
      </c>
      <c r="O39" s="141">
        <v>274000</v>
      </c>
      <c r="P39">
        <v>81.2</v>
      </c>
      <c r="Q39" s="5">
        <v>284.10000000000002</v>
      </c>
      <c r="S39" s="5">
        <v>14.5</v>
      </c>
      <c r="T39" s="5"/>
      <c r="U39" s="213">
        <f t="shared" ref="U39:U43" si="0">(Q39+P39+S39)*2*12</f>
        <v>9115.2000000000007</v>
      </c>
    </row>
    <row r="40" spans="1:21" x14ac:dyDescent="0.35">
      <c r="A40" s="209">
        <v>266001</v>
      </c>
      <c r="B40" s="141">
        <v>334000</v>
      </c>
      <c r="C40" s="215">
        <v>185</v>
      </c>
      <c r="D40" s="5">
        <v>370</v>
      </c>
      <c r="E40" s="5"/>
      <c r="F40" s="5">
        <v>35.299999999999997</v>
      </c>
      <c r="G40" s="5"/>
      <c r="H40" s="213">
        <f t="shared" ref="H40:H43" si="1">(D40+C40+F40)*2*12</f>
        <v>14167.199999999999</v>
      </c>
      <c r="N40" s="209">
        <v>274001</v>
      </c>
      <c r="O40" s="141">
        <v>342000</v>
      </c>
      <c r="P40">
        <v>202.9</v>
      </c>
      <c r="Q40" s="5">
        <v>405.8</v>
      </c>
      <c r="R40" s="5"/>
      <c r="S40" s="5">
        <v>37.5</v>
      </c>
      <c r="T40" s="5"/>
      <c r="U40" s="213">
        <f t="shared" si="0"/>
        <v>15508.800000000001</v>
      </c>
    </row>
    <row r="41" spans="1:21" x14ac:dyDescent="0.35">
      <c r="A41" s="209">
        <v>334001</v>
      </c>
      <c r="B41" s="141">
        <v>400000</v>
      </c>
      <c r="C41" s="215">
        <v>296</v>
      </c>
      <c r="D41" s="5">
        <v>481</v>
      </c>
      <c r="E41" s="5"/>
      <c r="F41" s="5">
        <v>57</v>
      </c>
      <c r="G41" s="5"/>
      <c r="H41" s="213">
        <f t="shared" si="1"/>
        <v>20016</v>
      </c>
      <c r="N41" s="209">
        <v>342001</v>
      </c>
      <c r="O41" s="141">
        <v>410000</v>
      </c>
      <c r="P41">
        <v>324.60000000000002</v>
      </c>
      <c r="Q41" s="5">
        <v>527.5</v>
      </c>
      <c r="R41" s="5"/>
      <c r="S41" s="5">
        <v>60.4</v>
      </c>
      <c r="T41" s="5"/>
      <c r="U41" s="213">
        <f t="shared" si="0"/>
        <v>21900</v>
      </c>
    </row>
    <row r="42" spans="1:21" x14ac:dyDescent="0.35">
      <c r="A42" s="209">
        <v>400001</v>
      </c>
      <c r="B42" s="141">
        <v>750000</v>
      </c>
      <c r="C42" s="215">
        <v>407</v>
      </c>
      <c r="D42" s="5">
        <v>592</v>
      </c>
      <c r="E42" s="5"/>
      <c r="F42" s="5">
        <v>78.599999999999994</v>
      </c>
      <c r="G42" s="5"/>
      <c r="H42" s="213">
        <f t="shared" si="1"/>
        <v>25862.399999999998</v>
      </c>
      <c r="N42" s="209">
        <v>410001</v>
      </c>
      <c r="O42" s="141">
        <v>750000</v>
      </c>
      <c r="P42">
        <v>446.3</v>
      </c>
      <c r="Q42" s="5">
        <v>649.20000000000005</v>
      </c>
      <c r="R42" s="5"/>
      <c r="S42" s="5">
        <v>83.3</v>
      </c>
      <c r="T42" s="5"/>
      <c r="U42" s="213">
        <f t="shared" si="0"/>
        <v>28291.199999999997</v>
      </c>
    </row>
    <row r="43" spans="1:21" ht="15" thickBot="1" x14ac:dyDescent="0.4">
      <c r="A43" s="211">
        <v>750001</v>
      </c>
      <c r="B43" s="210">
        <v>999999999</v>
      </c>
      <c r="C43" s="216">
        <v>443</v>
      </c>
      <c r="D43" s="212">
        <v>628</v>
      </c>
      <c r="E43" s="212"/>
      <c r="F43" s="212">
        <v>85.8</v>
      </c>
      <c r="G43" s="212"/>
      <c r="H43" s="214">
        <f t="shared" si="1"/>
        <v>27763.199999999997</v>
      </c>
      <c r="N43" s="211">
        <v>750001</v>
      </c>
      <c r="O43" s="210">
        <v>999999999</v>
      </c>
      <c r="P43" s="173">
        <v>487</v>
      </c>
      <c r="Q43" s="212">
        <v>689.9</v>
      </c>
      <c r="R43" s="212"/>
      <c r="S43" s="212">
        <v>91</v>
      </c>
      <c r="T43" s="212"/>
      <c r="U43" s="214">
        <f t="shared" si="0"/>
        <v>30429.600000000002</v>
      </c>
    </row>
  </sheetData>
  <mergeCells count="6">
    <mergeCell ref="A3:F3"/>
    <mergeCell ref="N3:S3"/>
    <mergeCell ref="N4:S4"/>
    <mergeCell ref="N30:N32"/>
    <mergeCell ref="A35:B35"/>
    <mergeCell ref="N35:O3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BBCED-18D5-4AD7-A8E6-9C26D95D53A5}">
  <dimension ref="A1:AK178"/>
  <sheetViews>
    <sheetView topLeftCell="M5" zoomScaleNormal="100" workbookViewId="0">
      <selection activeCell="AG12" sqref="AG12"/>
    </sheetView>
  </sheetViews>
  <sheetFormatPr defaultRowHeight="14.5" x14ac:dyDescent="0.35"/>
  <cols>
    <col min="1" max="3" width="0" hidden="1" customWidth="1"/>
    <col min="4" max="4" width="19.7265625" style="7" hidden="1" customWidth="1"/>
    <col min="5" max="5" width="0" hidden="1" customWidth="1"/>
    <col min="6" max="6" width="18.1796875" hidden="1" customWidth="1"/>
    <col min="7" max="12" width="0" hidden="1" customWidth="1"/>
    <col min="14" max="14" width="13.453125" customWidth="1"/>
    <col min="15" max="15" width="14.26953125" customWidth="1"/>
    <col min="16" max="16" width="15.08984375" customWidth="1"/>
    <col min="17" max="17" width="12.1796875" customWidth="1"/>
    <col min="18" max="18" width="16.81640625" customWidth="1"/>
    <col min="19" max="19" width="21" bestFit="1" customWidth="1"/>
    <col min="20" max="20" width="7.90625" customWidth="1"/>
    <col min="21" max="21" width="12.26953125" customWidth="1"/>
    <col min="22" max="22" width="7.90625" customWidth="1"/>
    <col min="23" max="23" width="12.08984375" bestFit="1" customWidth="1"/>
    <col min="24" max="24" width="7.90625" customWidth="1"/>
    <col min="25" max="25" width="12.26953125" customWidth="1"/>
    <col min="26" max="26" width="7.90625" customWidth="1"/>
    <col min="27" max="27" width="12.08984375" bestFit="1" customWidth="1"/>
    <col min="28" max="28" width="7.90625" customWidth="1"/>
    <col min="29" max="29" width="12.08984375" bestFit="1" customWidth="1"/>
    <col min="30" max="30" width="7.90625" customWidth="1"/>
    <col min="31" max="31" width="12.08984375" bestFit="1" customWidth="1"/>
    <col min="32" max="32" width="8.7265625" bestFit="1" customWidth="1"/>
    <col min="33" max="33" width="12.08984375" bestFit="1" customWidth="1"/>
    <col min="34" max="34" width="7.90625" customWidth="1"/>
    <col min="35" max="35" width="12.08984375" bestFit="1" customWidth="1"/>
    <col min="36" max="36" width="7.90625" customWidth="1"/>
  </cols>
  <sheetData>
    <row r="1" spans="1:31" ht="31" customHeight="1" x14ac:dyDescent="0.35">
      <c r="A1" t="s">
        <v>222</v>
      </c>
      <c r="B1" t="s">
        <v>223</v>
      </c>
      <c r="C1" t="s">
        <v>224</v>
      </c>
      <c r="N1" t="s">
        <v>229</v>
      </c>
      <c r="P1" s="4" t="s">
        <v>337</v>
      </c>
      <c r="Q1" s="4" t="s">
        <v>225</v>
      </c>
      <c r="R1" s="4" t="s">
        <v>226</v>
      </c>
      <c r="S1" s="4" t="s">
        <v>227</v>
      </c>
      <c r="T1" s="4"/>
      <c r="U1" s="4" t="s">
        <v>231</v>
      </c>
      <c r="W1" s="4" t="s">
        <v>232</v>
      </c>
    </row>
    <row r="2" spans="1:31" x14ac:dyDescent="0.35">
      <c r="A2">
        <v>1</v>
      </c>
      <c r="B2">
        <v>1</v>
      </c>
      <c r="C2">
        <v>1</v>
      </c>
      <c r="D2" s="7">
        <v>10000</v>
      </c>
      <c r="F2" s="7"/>
      <c r="G2" t="s">
        <v>228</v>
      </c>
      <c r="I2">
        <v>1.1041000000000001</v>
      </c>
      <c r="O2" s="118">
        <v>45683</v>
      </c>
      <c r="P2">
        <v>6700</v>
      </c>
      <c r="T2">
        <f t="shared" ref="T2:T24" si="0">SUM(P2:S2)</f>
        <v>6700</v>
      </c>
      <c r="U2" s="7">
        <f>(105000/12)-P2-Q2-R2-S2</f>
        <v>2050</v>
      </c>
      <c r="W2" s="7">
        <f>U2</f>
        <v>2050</v>
      </c>
      <c r="AD2">
        <v>2025</v>
      </c>
      <c r="AE2" s="7">
        <v>31500</v>
      </c>
    </row>
    <row r="3" spans="1:31" x14ac:dyDescent="0.35">
      <c r="A3">
        <v>1</v>
      </c>
      <c r="B3">
        <v>1</v>
      </c>
      <c r="C3">
        <v>2</v>
      </c>
      <c r="D3" s="7">
        <f>D2*I$2</f>
        <v>11041</v>
      </c>
      <c r="O3" s="118">
        <v>45714</v>
      </c>
      <c r="P3">
        <v>6700</v>
      </c>
      <c r="T3">
        <f t="shared" si="0"/>
        <v>6700</v>
      </c>
      <c r="U3" s="7">
        <f t="shared" ref="U3:U26" si="1">(105000/12)-P3-Q3-R3-S3</f>
        <v>2050</v>
      </c>
      <c r="W3" s="7">
        <f>W2+U3</f>
        <v>4100</v>
      </c>
      <c r="AD3">
        <f>AD2+1</f>
        <v>2026</v>
      </c>
      <c r="AE3" s="140">
        <v>38650</v>
      </c>
    </row>
    <row r="4" spans="1:31" x14ac:dyDescent="0.35">
      <c r="A4">
        <v>1</v>
      </c>
      <c r="B4">
        <v>1</v>
      </c>
      <c r="C4">
        <v>3</v>
      </c>
      <c r="D4" s="7">
        <f t="shared" ref="D4:D69" si="2">D3*I$2</f>
        <v>12190.368100000002</v>
      </c>
      <c r="O4" s="118">
        <v>45742</v>
      </c>
      <c r="P4">
        <v>6700</v>
      </c>
      <c r="T4">
        <f t="shared" si="0"/>
        <v>6700</v>
      </c>
      <c r="U4" s="7">
        <f t="shared" si="1"/>
        <v>2050</v>
      </c>
      <c r="W4" s="7">
        <f t="shared" ref="W4:W26" si="3">W3+U4</f>
        <v>6150</v>
      </c>
      <c r="AD4">
        <f t="shared" ref="AD4:AD9" si="4">AD3+1</f>
        <v>2027</v>
      </c>
      <c r="AE4" s="140">
        <v>46056</v>
      </c>
    </row>
    <row r="5" spans="1:31" x14ac:dyDescent="0.35">
      <c r="A5">
        <v>1</v>
      </c>
      <c r="B5">
        <v>1</v>
      </c>
      <c r="C5">
        <v>4</v>
      </c>
      <c r="D5" s="7">
        <f t="shared" si="2"/>
        <v>13459.385419210003</v>
      </c>
      <c r="O5" s="118">
        <v>45773</v>
      </c>
      <c r="P5">
        <v>6700</v>
      </c>
      <c r="T5">
        <f t="shared" si="0"/>
        <v>6700</v>
      </c>
      <c r="U5" s="7">
        <v>2050</v>
      </c>
      <c r="W5" s="7">
        <f t="shared" si="3"/>
        <v>8200</v>
      </c>
      <c r="Y5" s="236" t="s">
        <v>233</v>
      </c>
      <c r="Z5" t="s">
        <v>414</v>
      </c>
      <c r="AD5">
        <f t="shared" si="4"/>
        <v>2028</v>
      </c>
      <c r="AE5" s="140">
        <v>46636</v>
      </c>
    </row>
    <row r="6" spans="1:31" x14ac:dyDescent="0.35">
      <c r="A6">
        <v>1</v>
      </c>
      <c r="B6">
        <v>1</v>
      </c>
      <c r="C6">
        <v>5</v>
      </c>
      <c r="D6" s="7">
        <f t="shared" si="2"/>
        <v>14860.507441349764</v>
      </c>
      <c r="O6" s="118">
        <v>45803</v>
      </c>
      <c r="P6">
        <v>6700</v>
      </c>
      <c r="T6">
        <f t="shared" si="0"/>
        <v>6700</v>
      </c>
      <c r="U6" s="7">
        <f t="shared" si="1"/>
        <v>2050</v>
      </c>
      <c r="W6" s="7">
        <f t="shared" si="3"/>
        <v>10250</v>
      </c>
      <c r="AD6">
        <f t="shared" si="4"/>
        <v>2029</v>
      </c>
      <c r="AE6" s="140">
        <v>37600</v>
      </c>
    </row>
    <row r="7" spans="1:31" x14ac:dyDescent="0.35">
      <c r="A7">
        <v>1</v>
      </c>
      <c r="B7">
        <v>1</v>
      </c>
      <c r="C7">
        <v>6</v>
      </c>
      <c r="D7" s="7">
        <f t="shared" si="2"/>
        <v>16407.486265994277</v>
      </c>
      <c r="O7" s="118">
        <v>45834</v>
      </c>
      <c r="P7">
        <v>6700</v>
      </c>
      <c r="T7">
        <f t="shared" si="0"/>
        <v>6700</v>
      </c>
      <c r="U7" s="7">
        <f t="shared" si="1"/>
        <v>2050</v>
      </c>
      <c r="W7" s="7">
        <f t="shared" si="3"/>
        <v>12300</v>
      </c>
      <c r="AD7">
        <f t="shared" si="4"/>
        <v>2030</v>
      </c>
      <c r="AE7" s="140">
        <v>38450</v>
      </c>
    </row>
    <row r="8" spans="1:31" x14ac:dyDescent="0.35">
      <c r="A8">
        <v>1</v>
      </c>
      <c r="B8">
        <v>1</v>
      </c>
      <c r="C8">
        <v>7</v>
      </c>
      <c r="D8" s="7">
        <f t="shared" si="2"/>
        <v>18115.505586284282</v>
      </c>
      <c r="E8">
        <f>D8/D2</f>
        <v>1.8115505586284282</v>
      </c>
      <c r="O8" s="118">
        <v>45864</v>
      </c>
      <c r="P8">
        <v>6700</v>
      </c>
      <c r="T8">
        <f t="shared" si="0"/>
        <v>6700</v>
      </c>
      <c r="U8" s="7">
        <f t="shared" si="1"/>
        <v>2050</v>
      </c>
      <c r="W8" s="7">
        <f t="shared" si="3"/>
        <v>14350</v>
      </c>
      <c r="AD8">
        <f t="shared" si="4"/>
        <v>2031</v>
      </c>
      <c r="AE8" s="140">
        <v>39350</v>
      </c>
    </row>
    <row r="9" spans="1:31" x14ac:dyDescent="0.35">
      <c r="A9">
        <v>1</v>
      </c>
      <c r="B9">
        <f>B2+1</f>
        <v>2</v>
      </c>
      <c r="C9">
        <v>1</v>
      </c>
      <c r="D9" s="7">
        <f t="shared" si="2"/>
        <v>20001.329717816476</v>
      </c>
      <c r="O9" s="118">
        <v>45895</v>
      </c>
      <c r="P9">
        <v>6700</v>
      </c>
      <c r="T9">
        <f t="shared" si="0"/>
        <v>6700</v>
      </c>
      <c r="U9" s="7">
        <f t="shared" si="1"/>
        <v>2050</v>
      </c>
      <c r="W9" s="7">
        <f t="shared" si="3"/>
        <v>16400</v>
      </c>
      <c r="AD9">
        <f t="shared" si="4"/>
        <v>2032</v>
      </c>
      <c r="AE9" s="140">
        <v>40250</v>
      </c>
    </row>
    <row r="10" spans="1:31" x14ac:dyDescent="0.35">
      <c r="A10">
        <v>1</v>
      </c>
      <c r="B10">
        <f t="shared" ref="B10:B15" si="5">B3+1</f>
        <v>2</v>
      </c>
      <c r="C10">
        <v>2</v>
      </c>
      <c r="D10" s="7">
        <f t="shared" si="2"/>
        <v>22083.468141441172</v>
      </c>
      <c r="O10" s="118">
        <v>45926</v>
      </c>
      <c r="P10">
        <v>6700</v>
      </c>
      <c r="Q10">
        <v>3225</v>
      </c>
      <c r="T10">
        <f t="shared" si="0"/>
        <v>9925</v>
      </c>
      <c r="U10" s="7">
        <v>0</v>
      </c>
      <c r="W10" s="7">
        <f t="shared" si="3"/>
        <v>16400</v>
      </c>
    </row>
    <row r="11" spans="1:31" x14ac:dyDescent="0.35">
      <c r="A11">
        <v>1</v>
      </c>
      <c r="B11">
        <f t="shared" si="5"/>
        <v>2</v>
      </c>
      <c r="C11">
        <v>3</v>
      </c>
      <c r="D11" s="7">
        <f t="shared" si="2"/>
        <v>24382.3571749652</v>
      </c>
      <c r="O11" s="118">
        <v>45956</v>
      </c>
      <c r="P11">
        <v>6700</v>
      </c>
      <c r="Q11">
        <v>3225</v>
      </c>
      <c r="T11">
        <f t="shared" si="0"/>
        <v>9925</v>
      </c>
      <c r="U11" s="7">
        <v>0</v>
      </c>
      <c r="W11" s="7">
        <f t="shared" si="3"/>
        <v>16400</v>
      </c>
    </row>
    <row r="12" spans="1:31" x14ac:dyDescent="0.35">
      <c r="A12">
        <v>1</v>
      </c>
      <c r="B12">
        <f t="shared" si="5"/>
        <v>2</v>
      </c>
      <c r="C12">
        <v>4</v>
      </c>
      <c r="D12" s="7">
        <f t="shared" si="2"/>
        <v>26920.560556879078</v>
      </c>
      <c r="O12" s="118">
        <v>45987</v>
      </c>
      <c r="P12">
        <v>6700</v>
      </c>
      <c r="Q12">
        <v>3225</v>
      </c>
      <c r="T12">
        <f t="shared" si="0"/>
        <v>9925</v>
      </c>
      <c r="U12" s="7">
        <v>0</v>
      </c>
      <c r="W12" s="7">
        <f t="shared" si="3"/>
        <v>16400</v>
      </c>
    </row>
    <row r="13" spans="1:31" x14ac:dyDescent="0.35">
      <c r="A13">
        <v>1</v>
      </c>
      <c r="B13">
        <f t="shared" si="5"/>
        <v>2</v>
      </c>
      <c r="C13">
        <v>5</v>
      </c>
      <c r="D13" s="7">
        <f t="shared" si="2"/>
        <v>29722.990910850192</v>
      </c>
      <c r="O13" s="118">
        <v>46017</v>
      </c>
      <c r="P13">
        <v>6700</v>
      </c>
      <c r="Q13">
        <v>3225</v>
      </c>
      <c r="T13">
        <f t="shared" si="0"/>
        <v>9925</v>
      </c>
      <c r="U13" s="7">
        <v>0</v>
      </c>
      <c r="W13" s="7">
        <f t="shared" si="3"/>
        <v>16400</v>
      </c>
    </row>
    <row r="14" spans="1:31" x14ac:dyDescent="0.35">
      <c r="A14">
        <v>1</v>
      </c>
      <c r="B14">
        <f t="shared" si="5"/>
        <v>2</v>
      </c>
      <c r="C14">
        <v>6</v>
      </c>
      <c r="D14" s="7">
        <f t="shared" si="2"/>
        <v>32817.154264669698</v>
      </c>
      <c r="O14" s="118">
        <v>45684</v>
      </c>
      <c r="Q14">
        <v>3225</v>
      </c>
      <c r="T14">
        <f t="shared" si="0"/>
        <v>3225</v>
      </c>
      <c r="U14" s="7">
        <f t="shared" si="1"/>
        <v>5525</v>
      </c>
      <c r="W14" s="7">
        <f t="shared" si="3"/>
        <v>21925</v>
      </c>
    </row>
    <row r="15" spans="1:31" x14ac:dyDescent="0.35">
      <c r="A15">
        <v>1</v>
      </c>
      <c r="B15">
        <f t="shared" si="5"/>
        <v>2</v>
      </c>
      <c r="C15">
        <v>7</v>
      </c>
      <c r="D15" s="7">
        <f t="shared" si="2"/>
        <v>36233.420023621817</v>
      </c>
      <c r="E15">
        <f>D15/D8</f>
        <v>2.0001329717816474</v>
      </c>
      <c r="O15" s="118">
        <v>45715</v>
      </c>
      <c r="Q15">
        <v>3225</v>
      </c>
      <c r="T15">
        <f t="shared" si="0"/>
        <v>3225</v>
      </c>
      <c r="U15" s="7">
        <f t="shared" si="1"/>
        <v>5525</v>
      </c>
      <c r="W15" s="7">
        <f t="shared" si="3"/>
        <v>27450</v>
      </c>
    </row>
    <row r="16" spans="1:31" x14ac:dyDescent="0.35">
      <c r="A16">
        <v>1</v>
      </c>
      <c r="B16">
        <f>B9+1</f>
        <v>3</v>
      </c>
      <c r="C16">
        <v>1</v>
      </c>
      <c r="D16" s="7">
        <f t="shared" si="2"/>
        <v>40005.319048080848</v>
      </c>
      <c r="O16" s="118">
        <v>45743</v>
      </c>
      <c r="Q16">
        <v>3225</v>
      </c>
      <c r="T16">
        <f t="shared" si="0"/>
        <v>3225</v>
      </c>
      <c r="U16" s="7">
        <f t="shared" si="1"/>
        <v>5525</v>
      </c>
      <c r="W16" s="7">
        <f t="shared" si="3"/>
        <v>32975</v>
      </c>
    </row>
    <row r="17" spans="1:36" x14ac:dyDescent="0.35">
      <c r="A17">
        <v>1</v>
      </c>
      <c r="B17">
        <f t="shared" ref="B17:B55" si="6">B10+1</f>
        <v>3</v>
      </c>
      <c r="C17">
        <v>2</v>
      </c>
      <c r="D17" s="7">
        <f t="shared" si="2"/>
        <v>44169.872760986065</v>
      </c>
      <c r="O17" s="118">
        <v>45774</v>
      </c>
      <c r="Q17">
        <v>3225</v>
      </c>
      <c r="T17">
        <f t="shared" si="0"/>
        <v>3225</v>
      </c>
      <c r="U17" s="7">
        <v>25000</v>
      </c>
      <c r="W17" s="7">
        <f t="shared" si="3"/>
        <v>57975</v>
      </c>
      <c r="Y17" t="s">
        <v>233</v>
      </c>
    </row>
    <row r="18" spans="1:36" x14ac:dyDescent="0.35">
      <c r="A18">
        <v>1</v>
      </c>
      <c r="B18">
        <f t="shared" si="6"/>
        <v>3</v>
      </c>
      <c r="C18">
        <v>3</v>
      </c>
      <c r="D18" s="7">
        <f t="shared" si="2"/>
        <v>48767.956515404716</v>
      </c>
      <c r="O18" s="118">
        <v>45804</v>
      </c>
      <c r="Q18">
        <v>3225</v>
      </c>
      <c r="T18">
        <f t="shared" si="0"/>
        <v>3225</v>
      </c>
      <c r="U18" s="7">
        <f t="shared" si="1"/>
        <v>5525</v>
      </c>
      <c r="W18" s="7">
        <f t="shared" si="3"/>
        <v>63500</v>
      </c>
    </row>
    <row r="19" spans="1:36" x14ac:dyDescent="0.35">
      <c r="A19">
        <v>1</v>
      </c>
      <c r="B19">
        <f t="shared" si="6"/>
        <v>3</v>
      </c>
      <c r="C19">
        <v>4</v>
      </c>
      <c r="D19" s="7">
        <f t="shared" si="2"/>
        <v>53844.700788658352</v>
      </c>
      <c r="O19" s="118">
        <v>45835</v>
      </c>
      <c r="Q19">
        <v>3225</v>
      </c>
      <c r="T19">
        <f t="shared" si="0"/>
        <v>3225</v>
      </c>
      <c r="U19" s="7">
        <f t="shared" si="1"/>
        <v>5525</v>
      </c>
      <c r="W19" s="7">
        <f t="shared" si="3"/>
        <v>69025</v>
      </c>
    </row>
    <row r="20" spans="1:36" x14ac:dyDescent="0.35">
      <c r="A20">
        <v>1</v>
      </c>
      <c r="B20">
        <f t="shared" si="6"/>
        <v>3</v>
      </c>
      <c r="C20">
        <v>5</v>
      </c>
      <c r="D20" s="7">
        <f t="shared" si="2"/>
        <v>59449.934140757694</v>
      </c>
      <c r="O20" s="118">
        <v>45865</v>
      </c>
      <c r="Q20">
        <v>3225</v>
      </c>
      <c r="T20">
        <f t="shared" si="0"/>
        <v>3225</v>
      </c>
      <c r="U20" s="7">
        <f t="shared" si="1"/>
        <v>5525</v>
      </c>
      <c r="W20" s="7">
        <f t="shared" si="3"/>
        <v>74550</v>
      </c>
    </row>
    <row r="21" spans="1:36" x14ac:dyDescent="0.35">
      <c r="A21">
        <v>1</v>
      </c>
      <c r="B21">
        <f t="shared" si="6"/>
        <v>3</v>
      </c>
      <c r="C21">
        <v>6</v>
      </c>
      <c r="D21" s="7">
        <f t="shared" si="2"/>
        <v>65638.672284810571</v>
      </c>
      <c r="O21" s="118">
        <v>45896</v>
      </c>
      <c r="Q21">
        <v>3225</v>
      </c>
      <c r="T21">
        <f t="shared" si="0"/>
        <v>3225</v>
      </c>
      <c r="U21" s="7">
        <f t="shared" si="1"/>
        <v>5525</v>
      </c>
      <c r="W21" s="7">
        <f t="shared" si="3"/>
        <v>80075</v>
      </c>
    </row>
    <row r="22" spans="1:36" x14ac:dyDescent="0.35">
      <c r="A22">
        <v>1</v>
      </c>
      <c r="B22">
        <f t="shared" si="6"/>
        <v>3</v>
      </c>
      <c r="C22">
        <v>7</v>
      </c>
      <c r="D22" s="7">
        <f t="shared" si="2"/>
        <v>72471.658069659359</v>
      </c>
      <c r="E22">
        <f>D22/D15</f>
        <v>2.0001329717816474</v>
      </c>
      <c r="O22" s="118">
        <v>45927</v>
      </c>
      <c r="Q22">
        <v>3225</v>
      </c>
      <c r="T22">
        <f t="shared" si="0"/>
        <v>3225</v>
      </c>
      <c r="U22" s="7">
        <f t="shared" si="1"/>
        <v>5525</v>
      </c>
      <c r="W22" s="7">
        <f t="shared" si="3"/>
        <v>85600</v>
      </c>
    </row>
    <row r="23" spans="1:36" x14ac:dyDescent="0.35">
      <c r="A23">
        <v>1</v>
      </c>
      <c r="B23">
        <f t="shared" si="6"/>
        <v>4</v>
      </c>
      <c r="C23">
        <v>1</v>
      </c>
      <c r="D23" s="7">
        <f t="shared" si="2"/>
        <v>80015.957674710909</v>
      </c>
      <c r="O23" s="118">
        <v>45957</v>
      </c>
      <c r="Q23">
        <v>3225</v>
      </c>
      <c r="T23">
        <f t="shared" si="0"/>
        <v>3225</v>
      </c>
      <c r="U23" s="7">
        <f t="shared" si="1"/>
        <v>5525</v>
      </c>
      <c r="W23" s="7">
        <f t="shared" si="3"/>
        <v>91125</v>
      </c>
    </row>
    <row r="24" spans="1:36" x14ac:dyDescent="0.35">
      <c r="A24">
        <v>1</v>
      </c>
      <c r="B24">
        <f t="shared" si="6"/>
        <v>4</v>
      </c>
      <c r="C24">
        <v>2</v>
      </c>
      <c r="D24" s="7">
        <f t="shared" si="2"/>
        <v>88345.618868648322</v>
      </c>
      <c r="O24" s="118">
        <v>45988</v>
      </c>
      <c r="Q24">
        <v>3225</v>
      </c>
      <c r="T24">
        <f t="shared" si="0"/>
        <v>3225</v>
      </c>
      <c r="U24" s="7">
        <f t="shared" si="1"/>
        <v>5525</v>
      </c>
      <c r="W24" s="7">
        <f t="shared" si="3"/>
        <v>96650</v>
      </c>
    </row>
    <row r="25" spans="1:36" x14ac:dyDescent="0.35">
      <c r="A25">
        <v>1</v>
      </c>
      <c r="B25">
        <f t="shared" si="6"/>
        <v>4</v>
      </c>
      <c r="C25">
        <v>3</v>
      </c>
      <c r="D25" s="7">
        <f t="shared" si="2"/>
        <v>97542.397792874617</v>
      </c>
      <c r="O25" s="118">
        <v>46018</v>
      </c>
      <c r="Q25">
        <v>3225</v>
      </c>
      <c r="R25">
        <v>3282</v>
      </c>
      <c r="S25" s="7">
        <v>0</v>
      </c>
      <c r="T25">
        <f>SUM(P25:S25)</f>
        <v>6507</v>
      </c>
      <c r="U25" s="7">
        <f t="shared" si="1"/>
        <v>2243</v>
      </c>
      <c r="W25" s="7">
        <f t="shared" si="3"/>
        <v>98893</v>
      </c>
    </row>
    <row r="26" spans="1:36" x14ac:dyDescent="0.35">
      <c r="A26">
        <v>1</v>
      </c>
      <c r="B26">
        <f t="shared" si="6"/>
        <v>4</v>
      </c>
      <c r="C26">
        <v>4</v>
      </c>
      <c r="D26" s="7">
        <f t="shared" si="2"/>
        <v>107696.56140311288</v>
      </c>
      <c r="O26" s="118">
        <v>45685</v>
      </c>
      <c r="Q26">
        <v>3225</v>
      </c>
      <c r="R26">
        <v>3282</v>
      </c>
      <c r="S26" s="7">
        <v>0</v>
      </c>
      <c r="T26">
        <f>SUM(P26:S26)</f>
        <v>6507</v>
      </c>
      <c r="U26" s="7">
        <f t="shared" si="1"/>
        <v>2243</v>
      </c>
      <c r="W26" s="7">
        <f t="shared" si="3"/>
        <v>101136</v>
      </c>
    </row>
    <row r="27" spans="1:36" x14ac:dyDescent="0.35">
      <c r="A27">
        <v>1</v>
      </c>
      <c r="B27">
        <f t="shared" si="6"/>
        <v>4</v>
      </c>
      <c r="C27">
        <v>5</v>
      </c>
      <c r="D27" s="7">
        <f t="shared" si="2"/>
        <v>118907.77344517694</v>
      </c>
    </row>
    <row r="28" spans="1:36" x14ac:dyDescent="0.35">
      <c r="A28">
        <v>1</v>
      </c>
      <c r="B28">
        <f t="shared" si="6"/>
        <v>4</v>
      </c>
      <c r="C28">
        <v>6</v>
      </c>
      <c r="D28" s="7">
        <f t="shared" si="2"/>
        <v>131286.07266081986</v>
      </c>
    </row>
    <row r="29" spans="1:36" x14ac:dyDescent="0.35">
      <c r="A29">
        <v>1</v>
      </c>
      <c r="B29">
        <f t="shared" si="6"/>
        <v>4</v>
      </c>
      <c r="C29">
        <v>7</v>
      </c>
      <c r="D29" s="7">
        <f t="shared" si="2"/>
        <v>144952.95282481122</v>
      </c>
      <c r="E29">
        <f>D29/D22</f>
        <v>2.0001329717816478</v>
      </c>
      <c r="U29" s="7" t="s">
        <v>383</v>
      </c>
      <c r="W29" t="s">
        <v>382</v>
      </c>
    </row>
    <row r="30" spans="1:36" x14ac:dyDescent="0.35">
      <c r="A30">
        <v>1</v>
      </c>
      <c r="B30">
        <f>B25+1</f>
        <v>5</v>
      </c>
      <c r="C30">
        <v>3</v>
      </c>
      <c r="D30" s="7" t="e">
        <f>#REF!*I$2</f>
        <v>#REF!</v>
      </c>
    </row>
    <row r="31" spans="1:36" x14ac:dyDescent="0.35">
      <c r="A31">
        <v>1</v>
      </c>
      <c r="B31">
        <f>B26+1</f>
        <v>5</v>
      </c>
      <c r="C31">
        <v>4</v>
      </c>
      <c r="D31" s="7" t="e">
        <f t="shared" si="2"/>
        <v>#REF!</v>
      </c>
      <c r="S31" s="147">
        <v>2025</v>
      </c>
      <c r="T31" s="148">
        <v>64</v>
      </c>
      <c r="U31" s="155">
        <v>2026</v>
      </c>
      <c r="V31" s="148">
        <v>65</v>
      </c>
      <c r="W31" s="147">
        <v>2027</v>
      </c>
      <c r="X31" s="148">
        <v>66</v>
      </c>
      <c r="Y31" s="147">
        <v>2028</v>
      </c>
      <c r="Z31" s="148">
        <v>67</v>
      </c>
      <c r="AA31" s="147">
        <v>2029</v>
      </c>
      <c r="AB31" s="148">
        <v>68</v>
      </c>
      <c r="AC31" s="147" t="s">
        <v>351</v>
      </c>
      <c r="AD31" s="148">
        <v>69</v>
      </c>
      <c r="AE31" s="147">
        <v>2031</v>
      </c>
      <c r="AF31" s="148">
        <v>70</v>
      </c>
      <c r="AG31" s="147">
        <v>2032</v>
      </c>
      <c r="AH31" s="148">
        <v>71</v>
      </c>
      <c r="AI31" s="147">
        <v>2033</v>
      </c>
      <c r="AJ31" s="148">
        <v>72</v>
      </c>
    </row>
    <row r="32" spans="1:36" x14ac:dyDescent="0.35">
      <c r="A32">
        <v>1</v>
      </c>
      <c r="B32">
        <f>B27+1</f>
        <v>5</v>
      </c>
      <c r="C32">
        <v>5</v>
      </c>
      <c r="D32" s="7" t="e">
        <f t="shared" si="2"/>
        <v>#REF!</v>
      </c>
      <c r="S32" s="149" t="s">
        <v>347</v>
      </c>
      <c r="T32" s="150" t="s">
        <v>238</v>
      </c>
      <c r="U32" t="s">
        <v>347</v>
      </c>
      <c r="V32" s="150" t="s">
        <v>238</v>
      </c>
      <c r="W32" t="s">
        <v>347</v>
      </c>
      <c r="X32" s="150" t="s">
        <v>238</v>
      </c>
      <c r="Y32" t="s">
        <v>347</v>
      </c>
      <c r="Z32" s="150" t="s">
        <v>238</v>
      </c>
      <c r="AA32" t="s">
        <v>347</v>
      </c>
      <c r="AB32" s="150" t="s">
        <v>238</v>
      </c>
      <c r="AC32" t="s">
        <v>347</v>
      </c>
      <c r="AD32" s="150" t="s">
        <v>238</v>
      </c>
      <c r="AE32" t="s">
        <v>347</v>
      </c>
      <c r="AF32" s="150" t="s">
        <v>238</v>
      </c>
      <c r="AG32" t="s">
        <v>347</v>
      </c>
      <c r="AH32" s="150" t="s">
        <v>238</v>
      </c>
      <c r="AI32" t="s">
        <v>347</v>
      </c>
      <c r="AJ32" s="150" t="s">
        <v>238</v>
      </c>
    </row>
    <row r="33" spans="1:36" x14ac:dyDescent="0.35">
      <c r="A33">
        <v>1</v>
      </c>
      <c r="B33">
        <f>B28+1</f>
        <v>5</v>
      </c>
      <c r="C33">
        <v>6</v>
      </c>
      <c r="D33" s="7" t="e">
        <f t="shared" si="2"/>
        <v>#REF!</v>
      </c>
      <c r="M33" t="s">
        <v>305</v>
      </c>
      <c r="R33" t="s">
        <v>303</v>
      </c>
      <c r="S33" s="57">
        <v>141000</v>
      </c>
      <c r="T33" s="150"/>
      <c r="U33" s="57">
        <v>138000</v>
      </c>
      <c r="V33" s="150"/>
      <c r="W33" s="166">
        <v>186834</v>
      </c>
      <c r="X33" s="150"/>
      <c r="Y33" s="57">
        <v>150271</v>
      </c>
      <c r="Z33" s="150"/>
      <c r="AA33" s="57">
        <f>$T52</f>
        <v>160928</v>
      </c>
      <c r="AB33" s="150"/>
      <c r="AC33" s="57">
        <f>$T52</f>
        <v>160928</v>
      </c>
      <c r="AD33" s="150"/>
      <c r="AE33" s="57">
        <f>$T52</f>
        <v>160928</v>
      </c>
      <c r="AF33" s="150"/>
      <c r="AG33" s="57">
        <f>$T52</f>
        <v>160928</v>
      </c>
      <c r="AH33" s="150"/>
      <c r="AI33" s="57">
        <f>$T52</f>
        <v>160928</v>
      </c>
      <c r="AJ33" s="150"/>
    </row>
    <row r="34" spans="1:36" x14ac:dyDescent="0.35">
      <c r="A34">
        <v>1</v>
      </c>
      <c r="B34">
        <f>B29+1</f>
        <v>5</v>
      </c>
      <c r="C34">
        <v>7</v>
      </c>
      <c r="D34" s="7" t="e">
        <f t="shared" si="2"/>
        <v>#REF!</v>
      </c>
      <c r="E34" t="e">
        <f>D34/D29</f>
        <v>#REF!</v>
      </c>
      <c r="F34" s="7"/>
      <c r="N34" t="s">
        <v>330</v>
      </c>
      <c r="O34" t="s">
        <v>329</v>
      </c>
      <c r="R34" t="s">
        <v>304</v>
      </c>
      <c r="S34" s="152">
        <f>S33-'Std and Retire Deductions'!$G2</f>
        <v>109500</v>
      </c>
      <c r="T34" s="154"/>
      <c r="U34" s="145">
        <f>U33-'Std and Retire Deductions'!$G3</f>
        <v>99350</v>
      </c>
      <c r="V34" s="154"/>
      <c r="W34" s="145">
        <f>W33-'Std and Retire Deductions'!$G4</f>
        <v>140778</v>
      </c>
      <c r="X34" s="154"/>
      <c r="Y34" s="145">
        <f>Y33-'Std and Retire Deductions'!G5</f>
        <v>103635</v>
      </c>
      <c r="Z34" s="154"/>
      <c r="AA34" s="145">
        <f>AA33-'Std and Retire Deductions'!G6</f>
        <v>123328</v>
      </c>
      <c r="AB34" s="154"/>
      <c r="AC34" s="145">
        <f>AC33-'Std and Retire Deductions'!G7</f>
        <v>122478</v>
      </c>
      <c r="AD34" s="154"/>
      <c r="AE34" s="145">
        <f>AE33-'Std and Retire Deductions'!G8</f>
        <v>121578</v>
      </c>
      <c r="AF34" s="154"/>
      <c r="AG34" s="145">
        <f>AG33-'Std and Retire Deductions'!G9</f>
        <v>120678</v>
      </c>
      <c r="AH34" s="154"/>
      <c r="AI34" s="145">
        <f>AI33-'Std and Retire Deductions'!G10</f>
        <v>119728</v>
      </c>
      <c r="AJ34" s="154"/>
    </row>
    <row r="35" spans="1:36" x14ac:dyDescent="0.35">
      <c r="A35">
        <v>2</v>
      </c>
      <c r="B35">
        <v>1</v>
      </c>
      <c r="C35">
        <v>1</v>
      </c>
      <c r="D35" s="7" t="e">
        <f t="shared" si="2"/>
        <v>#REF!</v>
      </c>
      <c r="M35" s="44">
        <v>0.1</v>
      </c>
      <c r="N35" s="7">
        <v>0</v>
      </c>
      <c r="O35" s="7">
        <v>24000</v>
      </c>
      <c r="P35" s="7"/>
      <c r="Q35" s="7"/>
      <c r="S35" s="57">
        <f>MIN(Q34, 24800)</f>
        <v>24800</v>
      </c>
      <c r="T35" s="150">
        <f>S35*0.1</f>
        <v>2480</v>
      </c>
      <c r="U35" s="57">
        <f>MIN(S34, 24800)</f>
        <v>24800</v>
      </c>
      <c r="V35" s="151">
        <f>U35*0.1</f>
        <v>2480</v>
      </c>
      <c r="W35" s="57">
        <f>MIN(U34, 24800)</f>
        <v>24800</v>
      </c>
      <c r="X35" s="151">
        <f>W35*0.1</f>
        <v>2480</v>
      </c>
      <c r="Y35" s="57">
        <f>MIN(W34, 24800)</f>
        <v>24800</v>
      </c>
      <c r="Z35" s="151">
        <f>Y35*0.1</f>
        <v>2480</v>
      </c>
      <c r="AA35" s="57">
        <f>MIN(Y34, 24800)</f>
        <v>24800</v>
      </c>
      <c r="AB35" s="151">
        <f>AA35*0.1</f>
        <v>2480</v>
      </c>
      <c r="AC35" s="57">
        <f>MIN(AA34, 24800)</f>
        <v>24800</v>
      </c>
      <c r="AD35" s="151">
        <f>AC35*0.1</f>
        <v>2480</v>
      </c>
      <c r="AE35" s="57">
        <f>MIN(AC34, 24800)</f>
        <v>24800</v>
      </c>
      <c r="AF35" s="151">
        <f>AE35*0.1</f>
        <v>2480</v>
      </c>
      <c r="AG35" s="57">
        <f>MIN(AE34, 24800)</f>
        <v>24800</v>
      </c>
      <c r="AH35" s="151">
        <f>AG35*0.1</f>
        <v>2480</v>
      </c>
      <c r="AI35" s="57">
        <f>MIN(AG34, 24800)</f>
        <v>24800</v>
      </c>
      <c r="AJ35" s="151">
        <f>AI35*0.1</f>
        <v>2480</v>
      </c>
    </row>
    <row r="36" spans="1:36" x14ac:dyDescent="0.35">
      <c r="A36">
        <v>2</v>
      </c>
      <c r="B36">
        <v>1</v>
      </c>
      <c r="C36">
        <v>2</v>
      </c>
      <c r="D36" s="7" t="e">
        <f t="shared" si="2"/>
        <v>#REF!</v>
      </c>
      <c r="M36" s="44">
        <v>0.12</v>
      </c>
      <c r="N36" s="7">
        <v>24001</v>
      </c>
      <c r="O36" s="7">
        <v>100000</v>
      </c>
      <c r="P36" s="7"/>
      <c r="Q36" s="7"/>
      <c r="S36" s="57">
        <v>76000</v>
      </c>
      <c r="T36" s="150">
        <f>S36*0.12</f>
        <v>9120</v>
      </c>
      <c r="U36" s="7">
        <v>69550</v>
      </c>
      <c r="V36" s="151">
        <f>U36*0.12</f>
        <v>8346</v>
      </c>
      <c r="W36" s="57">
        <f>MAX(0, MIN(W34, 100800) - 24800)</f>
        <v>76000</v>
      </c>
      <c r="X36" s="151">
        <f>W36*0.12</f>
        <v>9120</v>
      </c>
      <c r="Y36" s="57">
        <f>MAX(0, MIN(Y34, 100800) - 24800)</f>
        <v>76000</v>
      </c>
      <c r="Z36" s="151">
        <f>Y36*0.12</f>
        <v>9120</v>
      </c>
      <c r="AA36" s="57">
        <f>MAX(0, MIN(AA34, 100800) - 24800)</f>
        <v>76000</v>
      </c>
      <c r="AB36" s="151">
        <f>AA36*0.12</f>
        <v>9120</v>
      </c>
      <c r="AC36" s="57">
        <f>MAX(0, MIN(AC34, 100800) - 24800)</f>
        <v>76000</v>
      </c>
      <c r="AD36" s="151">
        <f>AC36*0.12</f>
        <v>9120</v>
      </c>
      <c r="AE36" s="57">
        <f>MAX(0, MIN(AE34, 100800) - 24800)</f>
        <v>76000</v>
      </c>
      <c r="AF36" s="151">
        <f>AE36*0.12</f>
        <v>9120</v>
      </c>
      <c r="AG36" s="57">
        <f>MAX(0, MIN(AG34, 100800) - 24800)</f>
        <v>76000</v>
      </c>
      <c r="AH36" s="151">
        <f>AG36*0.12</f>
        <v>9120</v>
      </c>
      <c r="AI36" s="57">
        <f>MAX(0, MIN(AI34, 100800) - 24800)</f>
        <v>76000</v>
      </c>
      <c r="AJ36" s="151">
        <f>AI36*0.12</f>
        <v>9120</v>
      </c>
    </row>
    <row r="37" spans="1:36" x14ac:dyDescent="0.35">
      <c r="A37">
        <v>2</v>
      </c>
      <c r="B37">
        <v>1</v>
      </c>
      <c r="C37">
        <v>3</v>
      </c>
      <c r="D37" s="7" t="e">
        <f t="shared" si="2"/>
        <v>#REF!</v>
      </c>
      <c r="M37" s="44">
        <v>0.22</v>
      </c>
      <c r="N37" s="7">
        <v>100001</v>
      </c>
      <c r="O37" s="7">
        <v>211400</v>
      </c>
      <c r="P37" s="7"/>
      <c r="Q37" s="7"/>
      <c r="R37" s="7"/>
      <c r="S37" s="152">
        <f>S34-S35-S36</f>
        <v>8700</v>
      </c>
      <c r="T37" s="154">
        <f>S37*0.22</f>
        <v>1914</v>
      </c>
      <c r="U37" s="152">
        <f>MAX(0, MIN(U34, 211400) - 100800)</f>
        <v>0</v>
      </c>
      <c r="V37" s="153">
        <f>U37*0.22</f>
        <v>0</v>
      </c>
      <c r="W37" s="152">
        <f>MAX(0, MIN(W34, 211400) - 100800)</f>
        <v>39978</v>
      </c>
      <c r="X37" s="153">
        <f>W37*0.22</f>
        <v>8795.16</v>
      </c>
      <c r="Y37" s="152">
        <f>MAX(0, MIN(Y34, 211400) - 100800)</f>
        <v>2835</v>
      </c>
      <c r="Z37" s="153">
        <f>Y37*0.22</f>
        <v>623.70000000000005</v>
      </c>
      <c r="AA37" s="152">
        <f>MAX(0, MIN(AA34, 211400) - 100800)</f>
        <v>22528</v>
      </c>
      <c r="AB37" s="153">
        <f>AA37*0.22</f>
        <v>4956.16</v>
      </c>
      <c r="AC37" s="152">
        <f>MAX(0, MIN(AC34, 211400) - 100800)</f>
        <v>21678</v>
      </c>
      <c r="AD37" s="153">
        <f>AC37*0.22</f>
        <v>4769.16</v>
      </c>
      <c r="AE37" s="152">
        <f>MAX(0, MIN(AE34, 211400) - 100800)</f>
        <v>20778</v>
      </c>
      <c r="AF37" s="153">
        <f>AE37*0.22</f>
        <v>4571.16</v>
      </c>
      <c r="AG37" s="152">
        <f>MAX(0, MIN(AG34, 211400) - 100800)</f>
        <v>19878</v>
      </c>
      <c r="AH37" s="153">
        <f>AG37*0.22</f>
        <v>4373.16</v>
      </c>
      <c r="AI37" s="152">
        <f>MAX(0, MIN(AI34, 211400) - 100800)</f>
        <v>18928</v>
      </c>
      <c r="AJ37" s="153">
        <f>AI37*0.22</f>
        <v>4164.16</v>
      </c>
    </row>
    <row r="38" spans="1:36" x14ac:dyDescent="0.35">
      <c r="A38">
        <v>2</v>
      </c>
      <c r="B38">
        <v>1</v>
      </c>
      <c r="C38">
        <v>4</v>
      </c>
      <c r="D38" s="7" t="e">
        <f t="shared" si="2"/>
        <v>#REF!</v>
      </c>
      <c r="M38" s="44">
        <v>0.24</v>
      </c>
      <c r="N38" s="7">
        <v>211401</v>
      </c>
      <c r="O38" s="7">
        <v>403550</v>
      </c>
      <c r="P38" s="7"/>
      <c r="Q38" s="7"/>
      <c r="R38" s="7"/>
      <c r="S38" s="149"/>
      <c r="T38" s="150"/>
      <c r="V38" s="150"/>
      <c r="W38" s="149"/>
      <c r="X38" s="150"/>
      <c r="Y38" s="149"/>
      <c r="Z38" s="150"/>
      <c r="AA38" s="149"/>
      <c r="AB38" s="150"/>
      <c r="AC38" s="149"/>
      <c r="AD38" s="150"/>
      <c r="AE38" s="149"/>
      <c r="AF38" s="150"/>
      <c r="AG38" s="149"/>
      <c r="AH38" s="150"/>
      <c r="AI38" s="149"/>
      <c r="AJ38" s="150"/>
    </row>
    <row r="39" spans="1:36" x14ac:dyDescent="0.35">
      <c r="A39">
        <v>2</v>
      </c>
      <c r="B39">
        <v>1</v>
      </c>
      <c r="C39">
        <v>5</v>
      </c>
      <c r="D39" s="7" t="e">
        <f t="shared" si="2"/>
        <v>#REF!</v>
      </c>
      <c r="M39" s="44">
        <v>0.32</v>
      </c>
      <c r="N39" s="7">
        <v>403551</v>
      </c>
      <c r="O39" s="7">
        <v>512450</v>
      </c>
      <c r="P39" s="7"/>
      <c r="Q39" s="7"/>
      <c r="R39" s="7"/>
      <c r="S39" s="57" t="s">
        <v>17</v>
      </c>
      <c r="T39" s="151" t="s">
        <v>238</v>
      </c>
      <c r="U39" s="7" t="s">
        <v>17</v>
      </c>
      <c r="V39" s="151" t="s">
        <v>238</v>
      </c>
      <c r="W39" s="57" t="s">
        <v>17</v>
      </c>
      <c r="X39" s="151" t="s">
        <v>238</v>
      </c>
      <c r="Y39" s="57" t="s">
        <v>17</v>
      </c>
      <c r="Z39" s="151" t="s">
        <v>238</v>
      </c>
      <c r="AA39" s="57" t="s">
        <v>17</v>
      </c>
      <c r="AB39" s="151" t="s">
        <v>238</v>
      </c>
      <c r="AC39" s="57" t="s">
        <v>17</v>
      </c>
      <c r="AD39" s="151" t="s">
        <v>238</v>
      </c>
      <c r="AE39" s="57" t="s">
        <v>17</v>
      </c>
      <c r="AF39" s="151" t="s">
        <v>238</v>
      </c>
      <c r="AG39" s="57" t="s">
        <v>17</v>
      </c>
      <c r="AH39" s="151" t="s">
        <v>238</v>
      </c>
      <c r="AI39" s="57" t="s">
        <v>17</v>
      </c>
      <c r="AJ39" s="151" t="s">
        <v>238</v>
      </c>
    </row>
    <row r="40" spans="1:36" x14ac:dyDescent="0.35">
      <c r="A40">
        <v>2</v>
      </c>
      <c r="B40">
        <v>1</v>
      </c>
      <c r="C40">
        <v>6</v>
      </c>
      <c r="D40" s="7" t="e">
        <f t="shared" si="2"/>
        <v>#REF!</v>
      </c>
      <c r="M40" s="44">
        <v>0.35</v>
      </c>
      <c r="N40" s="7">
        <v>512451</v>
      </c>
      <c r="O40" s="7">
        <v>768700</v>
      </c>
      <c r="P40" s="7"/>
      <c r="Q40" s="7"/>
      <c r="R40" s="7"/>
      <c r="S40" s="152">
        <f t="shared" ref="S40:AJ40" si="7">SUM(S35:S37)</f>
        <v>109500</v>
      </c>
      <c r="T40" s="153">
        <f t="shared" si="7"/>
        <v>13514</v>
      </c>
      <c r="U40" s="145">
        <f t="shared" si="7"/>
        <v>94350</v>
      </c>
      <c r="V40" s="153">
        <f t="shared" si="7"/>
        <v>10826</v>
      </c>
      <c r="W40" s="152">
        <f t="shared" si="7"/>
        <v>140778</v>
      </c>
      <c r="X40" s="153">
        <f t="shared" si="7"/>
        <v>20395.16</v>
      </c>
      <c r="Y40" s="152">
        <f t="shared" si="7"/>
        <v>103635</v>
      </c>
      <c r="Z40" s="153">
        <f t="shared" si="7"/>
        <v>12223.7</v>
      </c>
      <c r="AA40" s="152">
        <f t="shared" si="7"/>
        <v>123328</v>
      </c>
      <c r="AB40" s="153">
        <f t="shared" si="7"/>
        <v>16556.16</v>
      </c>
      <c r="AC40" s="152">
        <f t="shared" si="7"/>
        <v>122478</v>
      </c>
      <c r="AD40" s="153">
        <f t="shared" si="7"/>
        <v>16369.16</v>
      </c>
      <c r="AE40" s="152">
        <f t="shared" si="7"/>
        <v>121578</v>
      </c>
      <c r="AF40" s="153">
        <f t="shared" si="7"/>
        <v>16171.16</v>
      </c>
      <c r="AG40" s="152">
        <f t="shared" si="7"/>
        <v>120678</v>
      </c>
      <c r="AH40" s="153">
        <f t="shared" si="7"/>
        <v>15973.16</v>
      </c>
      <c r="AI40" s="152">
        <f t="shared" si="7"/>
        <v>119728</v>
      </c>
      <c r="AJ40" s="153">
        <f t="shared" si="7"/>
        <v>15764.16</v>
      </c>
    </row>
    <row r="41" spans="1:36" x14ac:dyDescent="0.35">
      <c r="A41">
        <v>2</v>
      </c>
      <c r="B41">
        <v>1</v>
      </c>
      <c r="C41">
        <v>7</v>
      </c>
      <c r="D41" s="7" t="e">
        <f t="shared" si="2"/>
        <v>#REF!</v>
      </c>
      <c r="E41" t="e">
        <f>D41/D34</f>
        <v>#REF!</v>
      </c>
      <c r="M41" s="44">
        <v>0.37</v>
      </c>
      <c r="N41" s="7">
        <v>768701</v>
      </c>
      <c r="O41" s="7">
        <v>999999999</v>
      </c>
      <c r="P41" s="7"/>
      <c r="Q41" s="7"/>
      <c r="R41" s="7"/>
    </row>
    <row r="42" spans="1:36" x14ac:dyDescent="0.35">
      <c r="A42">
        <v>2</v>
      </c>
      <c r="B42">
        <f>B35+1</f>
        <v>2</v>
      </c>
      <c r="C42">
        <v>1</v>
      </c>
      <c r="D42" s="7" t="e">
        <f t="shared" si="2"/>
        <v>#REF!</v>
      </c>
      <c r="N42" s="7"/>
      <c r="P42" s="7"/>
      <c r="Q42" s="7"/>
    </row>
    <row r="43" spans="1:36" x14ac:dyDescent="0.35">
      <c r="A43">
        <v>2</v>
      </c>
      <c r="B43">
        <f t="shared" ref="B43:B48" si="8">B36+1</f>
        <v>2</v>
      </c>
      <c r="C43">
        <v>2</v>
      </c>
      <c r="D43" s="7" t="e">
        <f t="shared" si="2"/>
        <v>#REF!</v>
      </c>
      <c r="M43" t="s">
        <v>333</v>
      </c>
      <c r="N43" s="7"/>
      <c r="O43" s="7">
        <v>76704</v>
      </c>
      <c r="P43" s="7"/>
      <c r="R43" s="7"/>
      <c r="AA43" t="s">
        <v>12</v>
      </c>
    </row>
    <row r="44" spans="1:36" x14ac:dyDescent="0.35">
      <c r="A44">
        <v>2</v>
      </c>
      <c r="B44">
        <f t="shared" si="8"/>
        <v>2</v>
      </c>
      <c r="C44">
        <v>3</v>
      </c>
      <c r="D44" s="7" t="e">
        <f t="shared" si="2"/>
        <v>#REF!</v>
      </c>
      <c r="N44" s="7"/>
      <c r="AD44" t="s">
        <v>368</v>
      </c>
    </row>
    <row r="45" spans="1:36" x14ac:dyDescent="0.35">
      <c r="A45">
        <v>2</v>
      </c>
      <c r="B45">
        <f t="shared" si="8"/>
        <v>2</v>
      </c>
      <c r="C45">
        <v>4</v>
      </c>
      <c r="D45" s="7" t="e">
        <f t="shared" si="2"/>
        <v>#REF!</v>
      </c>
      <c r="M45" t="s">
        <v>332</v>
      </c>
      <c r="P45" t="s">
        <v>335</v>
      </c>
      <c r="Q45" s="122"/>
      <c r="T45">
        <v>2027</v>
      </c>
      <c r="AD45" s="147"/>
      <c r="AE45" s="204" t="s">
        <v>347</v>
      </c>
      <c r="AF45" s="205" t="s">
        <v>238</v>
      </c>
      <c r="AG45" s="22" t="s">
        <v>408</v>
      </c>
    </row>
    <row r="46" spans="1:36" ht="14.5" customHeight="1" x14ac:dyDescent="0.35">
      <c r="A46">
        <v>2</v>
      </c>
      <c r="B46">
        <f t="shared" si="8"/>
        <v>2</v>
      </c>
      <c r="C46">
        <v>5</v>
      </c>
      <c r="D46" s="7" t="e">
        <f t="shared" si="2"/>
        <v>#REF!</v>
      </c>
      <c r="M46" s="124">
        <v>0</v>
      </c>
      <c r="N46" s="140">
        <v>32000</v>
      </c>
      <c r="O46" s="123">
        <v>0</v>
      </c>
      <c r="P46" s="7">
        <v>0</v>
      </c>
      <c r="S46" s="158" t="s">
        <v>344</v>
      </c>
      <c r="T46" s="155"/>
      <c r="U46" s="148"/>
      <c r="V46" s="158" t="s">
        <v>348</v>
      </c>
      <c r="W46" s="148"/>
      <c r="X46" s="125"/>
      <c r="AD46" s="149" t="s">
        <v>110</v>
      </c>
      <c r="AE46" s="235">
        <v>141000</v>
      </c>
      <c r="AF46" s="22"/>
    </row>
    <row r="47" spans="1:36" x14ac:dyDescent="0.35">
      <c r="A47">
        <v>2</v>
      </c>
      <c r="B47">
        <f t="shared" si="8"/>
        <v>2</v>
      </c>
      <c r="C47">
        <v>6</v>
      </c>
      <c r="D47" s="7" t="e">
        <f t="shared" si="2"/>
        <v>#REF!</v>
      </c>
      <c r="M47" s="124">
        <v>32001</v>
      </c>
      <c r="N47" s="140">
        <v>44000</v>
      </c>
      <c r="O47" s="123">
        <v>0.5</v>
      </c>
      <c r="P47" s="7">
        <f>(N47-N46)*0.5</f>
        <v>6000</v>
      </c>
      <c r="Q47" s="126"/>
      <c r="S47" s="149" t="s">
        <v>9</v>
      </c>
      <c r="T47" s="165">
        <v>0</v>
      </c>
      <c r="U47" s="148"/>
      <c r="V47" s="165">
        <f>T47</f>
        <v>0</v>
      </c>
      <c r="W47" s="148"/>
      <c r="X47" s="141"/>
      <c r="AC47" s="141"/>
      <c r="AD47" s="161" t="s">
        <v>369</v>
      </c>
      <c r="AE47" s="23">
        <f>AE46-'Std and Retire Deductions'!$G3</f>
        <v>102350</v>
      </c>
      <c r="AF47" s="22"/>
      <c r="AG47" s="44"/>
    </row>
    <row r="48" spans="1:36" x14ac:dyDescent="0.35">
      <c r="A48">
        <v>2</v>
      </c>
      <c r="B48">
        <f t="shared" si="8"/>
        <v>2</v>
      </c>
      <c r="C48">
        <v>7</v>
      </c>
      <c r="D48" s="7" t="e">
        <f t="shared" si="2"/>
        <v>#REF!</v>
      </c>
      <c r="E48" t="e">
        <f>D48/D41</f>
        <v>#REF!</v>
      </c>
      <c r="M48" s="124">
        <v>44000</v>
      </c>
      <c r="N48" s="140">
        <v>999999999</v>
      </c>
      <c r="O48" s="123">
        <v>0.85</v>
      </c>
      <c r="P48" s="7">
        <f>U37</f>
        <v>0</v>
      </c>
      <c r="S48" s="149" t="s">
        <v>6</v>
      </c>
      <c r="T48" s="165">
        <v>80928</v>
      </c>
      <c r="U48" s="150"/>
      <c r="V48" s="163">
        <v>80928</v>
      </c>
      <c r="W48" s="150"/>
      <c r="X48" s="141"/>
      <c r="AC48" s="141"/>
      <c r="AD48" s="206">
        <v>0.1</v>
      </c>
      <c r="AE48" s="7">
        <f>MIN(AE47, 24800)</f>
        <v>24800</v>
      </c>
      <c r="AF48" s="150">
        <f>AE48*0.1</f>
        <v>2480</v>
      </c>
    </row>
    <row r="49" spans="1:37" ht="14.5" customHeight="1" x14ac:dyDescent="0.35">
      <c r="A49">
        <v>2</v>
      </c>
      <c r="B49">
        <f>B42+1</f>
        <v>3</v>
      </c>
      <c r="C49">
        <v>1</v>
      </c>
      <c r="D49" s="7" t="e">
        <f t="shared" si="2"/>
        <v>#REF!</v>
      </c>
      <c r="P49" s="139"/>
      <c r="S49" s="202" t="s">
        <v>327</v>
      </c>
      <c r="T49" s="165">
        <v>80000</v>
      </c>
      <c r="U49" s="198">
        <f>T49/1500000</f>
        <v>5.3333333333333337E-2</v>
      </c>
      <c r="V49" s="164">
        <f>T49</f>
        <v>80000</v>
      </c>
      <c r="W49" s="199">
        <f>V49/1500000</f>
        <v>5.3333333333333337E-2</v>
      </c>
      <c r="X49" s="237" t="s">
        <v>416</v>
      </c>
      <c r="Y49" s="122"/>
      <c r="AC49" s="146"/>
      <c r="AD49" s="206">
        <v>0.12</v>
      </c>
      <c r="AE49" s="7">
        <f>MAX(0, MIN(AE47, 100800) - 24800)</f>
        <v>76000</v>
      </c>
      <c r="AF49" s="150">
        <f>AE49*0.12</f>
        <v>9120</v>
      </c>
    </row>
    <row r="50" spans="1:37" ht="15.5" customHeight="1" x14ac:dyDescent="0.35">
      <c r="A50">
        <v>2</v>
      </c>
      <c r="B50">
        <f t="shared" si="6"/>
        <v>3</v>
      </c>
      <c r="C50">
        <v>2</v>
      </c>
      <c r="D50" s="7" t="e">
        <f t="shared" si="2"/>
        <v>#REF!</v>
      </c>
      <c r="M50" s="7">
        <f>P46+P47+P48</f>
        <v>6000</v>
      </c>
      <c r="N50" s="278" t="s">
        <v>331</v>
      </c>
      <c r="O50" s="278"/>
      <c r="S50" s="202" t="s">
        <v>413</v>
      </c>
      <c r="T50" s="141">
        <v>0</v>
      </c>
      <c r="U50" s="198"/>
      <c r="V50" s="164">
        <f>T50</f>
        <v>0</v>
      </c>
      <c r="W50" s="199"/>
      <c r="X50" s="146"/>
      <c r="Y50" s="124"/>
      <c r="AC50" s="146"/>
      <c r="AD50" s="206">
        <v>0.22</v>
      </c>
      <c r="AE50" s="7">
        <f>MAX(0, MIN(AE47, 211400) - 100800)</f>
        <v>1550</v>
      </c>
      <c r="AF50" s="7">
        <f>AE50*0.22</f>
        <v>341</v>
      </c>
    </row>
    <row r="51" spans="1:37" ht="15.5" customHeight="1" x14ac:dyDescent="0.35">
      <c r="A51">
        <v>2</v>
      </c>
      <c r="B51">
        <f t="shared" si="6"/>
        <v>3</v>
      </c>
      <c r="C51">
        <v>3</v>
      </c>
      <c r="D51" s="7" t="e">
        <f t="shared" si="2"/>
        <v>#REF!</v>
      </c>
      <c r="S51" s="203" t="s">
        <v>365</v>
      </c>
      <c r="T51" s="200">
        <v>0</v>
      </c>
      <c r="U51" s="201"/>
      <c r="V51" s="166">
        <v>0</v>
      </c>
      <c r="W51" s="162"/>
      <c r="X51" s="124"/>
      <c r="AD51" s="206">
        <v>0.24</v>
      </c>
      <c r="AE51">
        <f>MAX(0, MIN(AE46, 403550) - 211400)</f>
        <v>0</v>
      </c>
      <c r="AF51" s="150">
        <f t="shared" ref="AF51:AF54" si="9">AE51*0.22</f>
        <v>0</v>
      </c>
    </row>
    <row r="52" spans="1:37" ht="15.5" customHeight="1" x14ac:dyDescent="0.35">
      <c r="A52">
        <v>2</v>
      </c>
      <c r="B52">
        <f t="shared" si="6"/>
        <v>3</v>
      </c>
      <c r="C52">
        <v>4</v>
      </c>
      <c r="D52" s="7" t="e">
        <f t="shared" si="2"/>
        <v>#REF!</v>
      </c>
      <c r="M52" t="s">
        <v>336</v>
      </c>
      <c r="O52" s="7">
        <f>O43-M50</f>
        <v>70704</v>
      </c>
      <c r="S52" s="160" t="s">
        <v>110</v>
      </c>
      <c r="T52" s="166">
        <f>SUM(T47:T51)</f>
        <v>160928</v>
      </c>
      <c r="U52" s="159"/>
      <c r="V52" s="166">
        <f>SUM(V47:V51)</f>
        <v>160928</v>
      </c>
      <c r="W52" s="159"/>
      <c r="X52" s="124"/>
      <c r="AD52" s="206">
        <v>0.32</v>
      </c>
      <c r="AE52">
        <f>MAX(0, MIN(AE46, 512450) - 403550)</f>
        <v>0</v>
      </c>
      <c r="AF52" s="150">
        <f t="shared" si="9"/>
        <v>0</v>
      </c>
    </row>
    <row r="53" spans="1:37" x14ac:dyDescent="0.35">
      <c r="A53">
        <v>2</v>
      </c>
      <c r="B53">
        <f t="shared" si="6"/>
        <v>3</v>
      </c>
      <c r="C53">
        <v>5</v>
      </c>
      <c r="D53" s="7" t="e">
        <f t="shared" si="2"/>
        <v>#REF!</v>
      </c>
      <c r="P53" s="122"/>
      <c r="Q53" s="122"/>
      <c r="R53" s="122"/>
      <c r="T53" s="124"/>
      <c r="U53" s="124"/>
      <c r="V53" s="124"/>
      <c r="W53" s="124"/>
      <c r="X53" s="124"/>
      <c r="AD53" s="206">
        <v>0.35</v>
      </c>
      <c r="AE53">
        <f>MAX(0, MIN(AE46, 768700) - 512450)</f>
        <v>0</v>
      </c>
      <c r="AF53" s="150">
        <f t="shared" si="9"/>
        <v>0</v>
      </c>
    </row>
    <row r="54" spans="1:37" x14ac:dyDescent="0.35">
      <c r="A54">
        <v>2</v>
      </c>
      <c r="B54">
        <f t="shared" si="6"/>
        <v>3</v>
      </c>
      <c r="C54">
        <v>6</v>
      </c>
      <c r="D54" s="7" t="e">
        <f t="shared" si="2"/>
        <v>#REF!</v>
      </c>
      <c r="M54" s="139" t="s">
        <v>362</v>
      </c>
      <c r="N54" s="122"/>
      <c r="O54" s="122"/>
      <c r="P54" s="127"/>
      <c r="Q54" s="127"/>
      <c r="R54" s="127"/>
      <c r="T54" s="124"/>
      <c r="U54" s="124"/>
      <c r="V54" s="124"/>
      <c r="W54" s="124"/>
      <c r="X54" s="124"/>
      <c r="AD54" s="207">
        <v>0.37</v>
      </c>
      <c r="AE54" s="167">
        <f>MAX(0, AE46 - 768700)</f>
        <v>0</v>
      </c>
      <c r="AF54" s="154">
        <f t="shared" si="9"/>
        <v>0</v>
      </c>
    </row>
    <row r="55" spans="1:37" x14ac:dyDescent="0.35">
      <c r="A55">
        <v>2</v>
      </c>
      <c r="B55">
        <f t="shared" si="6"/>
        <v>3</v>
      </c>
      <c r="C55">
        <v>7</v>
      </c>
      <c r="D55" s="7" t="e">
        <f t="shared" si="2"/>
        <v>#REF!</v>
      </c>
      <c r="M55" t="s">
        <v>363</v>
      </c>
      <c r="N55" s="124"/>
      <c r="O55" s="127">
        <v>76704</v>
      </c>
      <c r="P55" s="124"/>
      <c r="Q55" s="127"/>
      <c r="R55" s="124"/>
      <c r="S55" s="122"/>
      <c r="T55" s="124"/>
      <c r="U55" s="124"/>
      <c r="V55" s="124"/>
      <c r="W55" s="124"/>
      <c r="AD55" s="161"/>
      <c r="AE55" s="167">
        <f>SUM(AE48:AE54)</f>
        <v>102350</v>
      </c>
      <c r="AF55" s="154">
        <f>SUM(AF48:AF54)</f>
        <v>11941</v>
      </c>
      <c r="AG55" s="23">
        <f>AE46</f>
        <v>141000</v>
      </c>
    </row>
    <row r="56" spans="1:37" x14ac:dyDescent="0.35">
      <c r="M56" t="s">
        <v>364</v>
      </c>
      <c r="N56" s="124"/>
      <c r="O56" s="127">
        <f>P66+40524</f>
        <v>80928</v>
      </c>
      <c r="P56" s="124">
        <f>0.85*80928</f>
        <v>68788.800000000003</v>
      </c>
      <c r="Q56" s="7"/>
      <c r="R56" s="124"/>
      <c r="S56" s="127"/>
      <c r="T56" s="124"/>
      <c r="U56" s="124"/>
      <c r="V56" s="124"/>
      <c r="W56" s="124"/>
    </row>
    <row r="57" spans="1:37" x14ac:dyDescent="0.35">
      <c r="N57" s="124"/>
      <c r="O57" s="127"/>
      <c r="P57" s="124"/>
      <c r="Q57" s="127"/>
      <c r="R57" s="124"/>
      <c r="S57" s="124"/>
    </row>
    <row r="58" spans="1:37" x14ac:dyDescent="0.35">
      <c r="N58" s="124"/>
      <c r="O58" s="127"/>
      <c r="P58" s="124"/>
      <c r="Q58" s="127"/>
      <c r="R58" s="124"/>
      <c r="S58" s="124"/>
    </row>
    <row r="59" spans="1:37" x14ac:dyDescent="0.35">
      <c r="M59" s="197"/>
      <c r="N59" s="124"/>
      <c r="O59" s="127"/>
      <c r="P59" s="127"/>
      <c r="Q59" s="127"/>
      <c r="R59" s="124"/>
      <c r="S59" s="124"/>
      <c r="AE59" t="s">
        <v>417</v>
      </c>
      <c r="AF59" t="s">
        <v>409</v>
      </c>
      <c r="AG59" t="s">
        <v>410</v>
      </c>
      <c r="AH59" t="s">
        <v>411</v>
      </c>
      <c r="AI59" t="s">
        <v>412</v>
      </c>
    </row>
    <row r="60" spans="1:37" x14ac:dyDescent="0.35">
      <c r="M60" s="197"/>
      <c r="N60" s="124"/>
      <c r="O60" s="127"/>
      <c r="P60" s="127"/>
      <c r="Q60" s="124"/>
      <c r="R60" s="127"/>
      <c r="S60" s="124"/>
      <c r="AC60" t="s">
        <v>12</v>
      </c>
      <c r="AD60">
        <v>2026</v>
      </c>
      <c r="AE60" s="7">
        <v>141000</v>
      </c>
      <c r="AF60" s="7">
        <v>50000</v>
      </c>
      <c r="AG60" s="7">
        <v>152350</v>
      </c>
      <c r="AH60" s="7">
        <f>AE60+AF60</f>
        <v>191000</v>
      </c>
      <c r="AI60" s="7">
        <v>22941</v>
      </c>
    </row>
    <row r="61" spans="1:37" x14ac:dyDescent="0.35">
      <c r="M61" s="197"/>
      <c r="N61" s="124"/>
      <c r="O61" s="127"/>
      <c r="P61" s="127"/>
      <c r="Q61" s="127"/>
      <c r="R61" s="127"/>
      <c r="S61" s="124"/>
      <c r="AD61">
        <v>2027</v>
      </c>
      <c r="AE61" s="7">
        <v>34343</v>
      </c>
      <c r="AF61" s="7">
        <v>104000</v>
      </c>
      <c r="AG61" s="7">
        <v>99693</v>
      </c>
      <c r="AH61" s="7">
        <v>144404</v>
      </c>
      <c r="AI61" s="7">
        <v>11467</v>
      </c>
      <c r="AK61" t="s">
        <v>415</v>
      </c>
    </row>
    <row r="62" spans="1:37" x14ac:dyDescent="0.35">
      <c r="M62" s="197"/>
      <c r="N62" s="124"/>
      <c r="O62" s="127"/>
      <c r="S62" s="124"/>
      <c r="AE62" s="7"/>
      <c r="AF62" s="7"/>
      <c r="AG62" s="7"/>
      <c r="AH62" s="7"/>
      <c r="AI62" s="7"/>
    </row>
    <row r="63" spans="1:37" x14ac:dyDescent="0.35">
      <c r="A63">
        <v>2</v>
      </c>
      <c r="B63">
        <f>B53+1</f>
        <v>4</v>
      </c>
      <c r="C63">
        <v>5</v>
      </c>
      <c r="D63" s="7">
        <f t="shared" si="2"/>
        <v>0</v>
      </c>
      <c r="S63" s="124"/>
      <c r="AE63" s="7"/>
      <c r="AF63" s="7"/>
      <c r="AG63" s="7"/>
      <c r="AH63" s="7"/>
      <c r="AI63" s="7"/>
    </row>
    <row r="64" spans="1:37" x14ac:dyDescent="0.35">
      <c r="A64">
        <v>2</v>
      </c>
      <c r="B64">
        <f>B54+1</f>
        <v>4</v>
      </c>
      <c r="C64">
        <v>6</v>
      </c>
      <c r="D64" s="7">
        <f t="shared" si="2"/>
        <v>0</v>
      </c>
      <c r="P64" t="s">
        <v>395</v>
      </c>
      <c r="Q64" t="s">
        <v>396</v>
      </c>
      <c r="AE64" s="7"/>
      <c r="AF64" s="7"/>
      <c r="AG64" s="7"/>
      <c r="AH64" s="7"/>
      <c r="AI64" s="7"/>
    </row>
    <row r="65" spans="1:35" x14ac:dyDescent="0.35">
      <c r="A65">
        <v>2</v>
      </c>
      <c r="B65">
        <f>B55+1</f>
        <v>4</v>
      </c>
      <c r="C65">
        <v>7</v>
      </c>
      <c r="D65" s="7">
        <f t="shared" si="2"/>
        <v>0</v>
      </c>
      <c r="M65" t="s">
        <v>359</v>
      </c>
      <c r="O65" s="7">
        <v>3283</v>
      </c>
      <c r="P65" s="7">
        <f>O65*12</f>
        <v>39396</v>
      </c>
      <c r="Q65" s="7">
        <f>P65*0.85</f>
        <v>33486.6</v>
      </c>
      <c r="AE65" s="7"/>
      <c r="AF65" s="7"/>
      <c r="AG65" s="7"/>
      <c r="AH65" s="7"/>
      <c r="AI65" s="7"/>
    </row>
    <row r="66" spans="1:35" x14ac:dyDescent="0.35">
      <c r="M66" t="s">
        <v>360</v>
      </c>
      <c r="O66" s="7">
        <v>3367</v>
      </c>
      <c r="P66" s="7">
        <f>O66*12</f>
        <v>40404</v>
      </c>
      <c r="Q66" s="7">
        <f>P66*0.85</f>
        <v>34343.4</v>
      </c>
      <c r="AE66" s="7"/>
      <c r="AF66" s="7"/>
      <c r="AG66" s="7"/>
      <c r="AH66" s="7"/>
      <c r="AI66" s="7"/>
    </row>
    <row r="67" spans="1:35" x14ac:dyDescent="0.35">
      <c r="A67">
        <v>2</v>
      </c>
      <c r="B67">
        <f t="shared" ref="B67:B73" si="10">B59+1</f>
        <v>1</v>
      </c>
      <c r="C67">
        <v>1</v>
      </c>
      <c r="D67" s="7">
        <f>D65*I$2</f>
        <v>0</v>
      </c>
      <c r="M67" t="s">
        <v>361</v>
      </c>
      <c r="O67" s="7">
        <v>3409</v>
      </c>
      <c r="P67" s="7">
        <f>O67*12</f>
        <v>40908</v>
      </c>
      <c r="Q67" s="7">
        <f>P67*0.85</f>
        <v>34771.799999999996</v>
      </c>
    </row>
    <row r="68" spans="1:35" x14ac:dyDescent="0.35">
      <c r="A68">
        <v>2</v>
      </c>
      <c r="B68">
        <f t="shared" si="10"/>
        <v>1</v>
      </c>
      <c r="C68">
        <v>2</v>
      </c>
      <c r="D68" s="7">
        <f t="shared" si="2"/>
        <v>0</v>
      </c>
      <c r="O68" s="7"/>
      <c r="P68" s="7"/>
      <c r="Q68" s="7"/>
      <c r="S68" s="7"/>
    </row>
    <row r="69" spans="1:35" x14ac:dyDescent="0.35">
      <c r="A69">
        <v>2</v>
      </c>
      <c r="B69">
        <f t="shared" si="10"/>
        <v>1</v>
      </c>
      <c r="C69">
        <v>3</v>
      </c>
      <c r="D69" s="7">
        <f t="shared" si="2"/>
        <v>0</v>
      </c>
      <c r="M69" t="s">
        <v>366</v>
      </c>
      <c r="O69" s="7">
        <v>3391</v>
      </c>
      <c r="P69" s="7">
        <f>O69*12</f>
        <v>40692</v>
      </c>
      <c r="Q69" s="7">
        <f t="shared" ref="Q69:Q70" si="11">P69*0.85</f>
        <v>34588.199999999997</v>
      </c>
      <c r="R69" s="7" t="s">
        <v>397</v>
      </c>
    </row>
    <row r="70" spans="1:35" x14ac:dyDescent="0.35">
      <c r="A70">
        <v>2</v>
      </c>
      <c r="B70">
        <f t="shared" si="10"/>
        <v>1</v>
      </c>
      <c r="C70">
        <v>4</v>
      </c>
      <c r="D70" s="7">
        <f t="shared" ref="D70:D133" si="12">D69*I$2</f>
        <v>0</v>
      </c>
      <c r="M70" t="s">
        <v>367</v>
      </c>
      <c r="O70" s="7">
        <v>3412</v>
      </c>
      <c r="P70" s="7">
        <f>O70*12</f>
        <v>40944</v>
      </c>
      <c r="Q70" s="7">
        <f t="shared" si="11"/>
        <v>34802.400000000001</v>
      </c>
      <c r="R70" s="7">
        <f>Q70+Q66</f>
        <v>69145.8</v>
      </c>
      <c r="S70" s="7"/>
      <c r="U70" s="7"/>
    </row>
    <row r="71" spans="1:35" x14ac:dyDescent="0.35">
      <c r="A71">
        <v>2</v>
      </c>
      <c r="B71">
        <f t="shared" si="10"/>
        <v>5</v>
      </c>
      <c r="C71">
        <v>5</v>
      </c>
      <c r="D71" s="7">
        <f t="shared" si="12"/>
        <v>0</v>
      </c>
      <c r="S71" s="7">
        <f>P66+P70</f>
        <v>81348</v>
      </c>
    </row>
    <row r="72" spans="1:35" x14ac:dyDescent="0.35">
      <c r="A72">
        <v>2</v>
      </c>
      <c r="B72">
        <f t="shared" si="10"/>
        <v>5</v>
      </c>
      <c r="C72">
        <v>6</v>
      </c>
      <c r="D72" s="7">
        <f t="shared" si="12"/>
        <v>0</v>
      </c>
    </row>
    <row r="73" spans="1:35" x14ac:dyDescent="0.35">
      <c r="A73">
        <v>2</v>
      </c>
      <c r="B73">
        <f t="shared" si="10"/>
        <v>5</v>
      </c>
      <c r="C73">
        <v>7</v>
      </c>
      <c r="D73" s="7">
        <f t="shared" si="12"/>
        <v>0</v>
      </c>
      <c r="F73" s="7"/>
      <c r="P73" s="7">
        <f>P66+P70</f>
        <v>81348</v>
      </c>
    </row>
    <row r="74" spans="1:35" x14ac:dyDescent="0.35">
      <c r="A74">
        <v>3</v>
      </c>
      <c r="B74">
        <v>1</v>
      </c>
      <c r="C74">
        <v>1</v>
      </c>
      <c r="D74" s="7">
        <f t="shared" si="12"/>
        <v>0</v>
      </c>
    </row>
    <row r="75" spans="1:35" x14ac:dyDescent="0.35">
      <c r="A75">
        <v>3</v>
      </c>
      <c r="B75">
        <v>1</v>
      </c>
      <c r="C75">
        <v>2</v>
      </c>
      <c r="D75" s="7">
        <f t="shared" si="12"/>
        <v>0</v>
      </c>
    </row>
    <row r="76" spans="1:35" x14ac:dyDescent="0.35">
      <c r="A76">
        <v>3</v>
      </c>
      <c r="B76">
        <v>1</v>
      </c>
      <c r="C76">
        <v>3</v>
      </c>
      <c r="D76" s="7">
        <f t="shared" si="12"/>
        <v>0</v>
      </c>
    </row>
    <row r="77" spans="1:35" x14ac:dyDescent="0.35">
      <c r="A77">
        <v>3</v>
      </c>
      <c r="B77">
        <v>1</v>
      </c>
      <c r="C77">
        <v>4</v>
      </c>
      <c r="D77" s="7">
        <f t="shared" si="12"/>
        <v>0</v>
      </c>
    </row>
    <row r="78" spans="1:35" x14ac:dyDescent="0.35">
      <c r="A78">
        <v>3</v>
      </c>
      <c r="B78">
        <v>1</v>
      </c>
      <c r="C78">
        <v>5</v>
      </c>
      <c r="D78" s="7">
        <f t="shared" si="12"/>
        <v>0</v>
      </c>
    </row>
    <row r="79" spans="1:35" x14ac:dyDescent="0.35">
      <c r="A79">
        <v>3</v>
      </c>
      <c r="B79">
        <v>1</v>
      </c>
      <c r="C79">
        <v>6</v>
      </c>
      <c r="D79" s="7">
        <f t="shared" si="12"/>
        <v>0</v>
      </c>
    </row>
    <row r="80" spans="1:35" x14ac:dyDescent="0.35">
      <c r="A80">
        <v>3</v>
      </c>
      <c r="B80">
        <v>1</v>
      </c>
      <c r="C80">
        <v>7</v>
      </c>
      <c r="D80" s="7">
        <f t="shared" si="12"/>
        <v>0</v>
      </c>
    </row>
    <row r="81" spans="1:4" x14ac:dyDescent="0.35">
      <c r="A81">
        <v>3</v>
      </c>
      <c r="B81">
        <f>B74+1</f>
        <v>2</v>
      </c>
      <c r="C81">
        <v>1</v>
      </c>
      <c r="D81" s="7">
        <f t="shared" si="12"/>
        <v>0</v>
      </c>
    </row>
    <row r="82" spans="1:4" x14ac:dyDescent="0.35">
      <c r="A82">
        <v>3</v>
      </c>
      <c r="B82">
        <f t="shared" ref="B82:B87" si="13">B75+1</f>
        <v>2</v>
      </c>
      <c r="C82">
        <v>2</v>
      </c>
      <c r="D82" s="7">
        <f t="shared" si="12"/>
        <v>0</v>
      </c>
    </row>
    <row r="83" spans="1:4" x14ac:dyDescent="0.35">
      <c r="A83">
        <v>3</v>
      </c>
      <c r="B83">
        <f t="shared" si="13"/>
        <v>2</v>
      </c>
      <c r="C83">
        <v>3</v>
      </c>
      <c r="D83" s="7">
        <f t="shared" si="12"/>
        <v>0</v>
      </c>
    </row>
    <row r="84" spans="1:4" x14ac:dyDescent="0.35">
      <c r="A84">
        <v>3</v>
      </c>
      <c r="B84">
        <f t="shared" si="13"/>
        <v>2</v>
      </c>
      <c r="C84">
        <v>4</v>
      </c>
      <c r="D84" s="7">
        <f t="shared" si="12"/>
        <v>0</v>
      </c>
    </row>
    <row r="85" spans="1:4" x14ac:dyDescent="0.35">
      <c r="A85">
        <v>3</v>
      </c>
      <c r="B85">
        <f t="shared" si="13"/>
        <v>2</v>
      </c>
      <c r="C85">
        <v>5</v>
      </c>
      <c r="D85" s="7">
        <f t="shared" si="12"/>
        <v>0</v>
      </c>
    </row>
    <row r="86" spans="1:4" x14ac:dyDescent="0.35">
      <c r="A86">
        <v>3</v>
      </c>
      <c r="B86">
        <f t="shared" si="13"/>
        <v>2</v>
      </c>
      <c r="C86">
        <v>6</v>
      </c>
      <c r="D86" s="7">
        <f t="shared" si="12"/>
        <v>0</v>
      </c>
    </row>
    <row r="87" spans="1:4" x14ac:dyDescent="0.35">
      <c r="A87">
        <v>3</v>
      </c>
      <c r="B87">
        <f t="shared" si="13"/>
        <v>2</v>
      </c>
      <c r="C87">
        <v>7</v>
      </c>
      <c r="D87" s="7">
        <f t="shared" si="12"/>
        <v>0</v>
      </c>
    </row>
    <row r="88" spans="1:4" x14ac:dyDescent="0.35">
      <c r="A88">
        <v>3</v>
      </c>
      <c r="B88">
        <f>B81+1</f>
        <v>3</v>
      </c>
      <c r="C88">
        <v>1</v>
      </c>
      <c r="D88" s="7">
        <f t="shared" si="12"/>
        <v>0</v>
      </c>
    </row>
    <row r="89" spans="1:4" x14ac:dyDescent="0.35">
      <c r="A89">
        <v>3</v>
      </c>
      <c r="B89">
        <f t="shared" ref="B89:B108" si="14">B82+1</f>
        <v>3</v>
      </c>
      <c r="C89">
        <v>2</v>
      </c>
      <c r="D89" s="7">
        <f t="shared" si="12"/>
        <v>0</v>
      </c>
    </row>
    <row r="90" spans="1:4" x14ac:dyDescent="0.35">
      <c r="A90">
        <v>3</v>
      </c>
      <c r="B90">
        <f t="shared" si="14"/>
        <v>3</v>
      </c>
      <c r="C90">
        <v>3</v>
      </c>
      <c r="D90" s="7">
        <f t="shared" si="12"/>
        <v>0</v>
      </c>
    </row>
    <row r="91" spans="1:4" x14ac:dyDescent="0.35">
      <c r="A91">
        <v>3</v>
      </c>
      <c r="B91">
        <f t="shared" si="14"/>
        <v>3</v>
      </c>
      <c r="C91">
        <v>4</v>
      </c>
      <c r="D91" s="7">
        <f t="shared" si="12"/>
        <v>0</v>
      </c>
    </row>
    <row r="92" spans="1:4" x14ac:dyDescent="0.35">
      <c r="A92">
        <v>3</v>
      </c>
      <c r="B92">
        <f t="shared" si="14"/>
        <v>3</v>
      </c>
      <c r="C92">
        <v>5</v>
      </c>
      <c r="D92" s="7">
        <f t="shared" si="12"/>
        <v>0</v>
      </c>
    </row>
    <row r="93" spans="1:4" x14ac:dyDescent="0.35">
      <c r="A93">
        <v>3</v>
      </c>
      <c r="B93">
        <f t="shared" si="14"/>
        <v>3</v>
      </c>
      <c r="C93">
        <v>6</v>
      </c>
      <c r="D93" s="7">
        <f t="shared" si="12"/>
        <v>0</v>
      </c>
    </row>
    <row r="94" spans="1:4" x14ac:dyDescent="0.35">
      <c r="A94">
        <v>3</v>
      </c>
      <c r="B94">
        <f t="shared" si="14"/>
        <v>3</v>
      </c>
      <c r="C94">
        <v>7</v>
      </c>
      <c r="D94" s="7">
        <f t="shared" si="12"/>
        <v>0</v>
      </c>
    </row>
    <row r="95" spans="1:4" x14ac:dyDescent="0.35">
      <c r="A95">
        <v>3</v>
      </c>
      <c r="B95">
        <f t="shared" si="14"/>
        <v>4</v>
      </c>
      <c r="C95">
        <v>1</v>
      </c>
      <c r="D95" s="7">
        <f t="shared" si="12"/>
        <v>0</v>
      </c>
    </row>
    <row r="96" spans="1:4" x14ac:dyDescent="0.35">
      <c r="A96">
        <v>3</v>
      </c>
      <c r="B96">
        <f t="shared" si="14"/>
        <v>4</v>
      </c>
      <c r="C96">
        <v>2</v>
      </c>
      <c r="D96" s="7">
        <f t="shared" si="12"/>
        <v>0</v>
      </c>
    </row>
    <row r="97" spans="1:6" x14ac:dyDescent="0.35">
      <c r="A97">
        <v>3</v>
      </c>
      <c r="B97">
        <f t="shared" si="14"/>
        <v>4</v>
      </c>
      <c r="C97">
        <v>3</v>
      </c>
      <c r="D97" s="7">
        <f t="shared" si="12"/>
        <v>0</v>
      </c>
    </row>
    <row r="98" spans="1:6" x14ac:dyDescent="0.35">
      <c r="A98">
        <v>3</v>
      </c>
      <c r="B98">
        <f t="shared" si="14"/>
        <v>4</v>
      </c>
      <c r="C98">
        <v>4</v>
      </c>
      <c r="D98" s="7">
        <f t="shared" si="12"/>
        <v>0</v>
      </c>
    </row>
    <row r="99" spans="1:6" x14ac:dyDescent="0.35">
      <c r="A99">
        <v>3</v>
      </c>
      <c r="B99">
        <f t="shared" si="14"/>
        <v>4</v>
      </c>
      <c r="C99">
        <v>5</v>
      </c>
      <c r="D99" s="7">
        <f t="shared" si="12"/>
        <v>0</v>
      </c>
    </row>
    <row r="100" spans="1:6" x14ac:dyDescent="0.35">
      <c r="A100">
        <v>3</v>
      </c>
      <c r="B100">
        <f t="shared" si="14"/>
        <v>4</v>
      </c>
      <c r="C100">
        <v>6</v>
      </c>
      <c r="D100" s="7">
        <f t="shared" si="12"/>
        <v>0</v>
      </c>
    </row>
    <row r="101" spans="1:6" x14ac:dyDescent="0.35">
      <c r="A101">
        <v>3</v>
      </c>
      <c r="B101">
        <f t="shared" si="14"/>
        <v>4</v>
      </c>
      <c r="C101">
        <v>7</v>
      </c>
      <c r="D101" s="7">
        <f t="shared" si="12"/>
        <v>0</v>
      </c>
    </row>
    <row r="102" spans="1:6" x14ac:dyDescent="0.35">
      <c r="A102">
        <v>3</v>
      </c>
      <c r="B102">
        <f t="shared" si="14"/>
        <v>5</v>
      </c>
      <c r="C102">
        <v>1</v>
      </c>
      <c r="D102" s="7">
        <f t="shared" si="12"/>
        <v>0</v>
      </c>
    </row>
    <row r="103" spans="1:6" x14ac:dyDescent="0.35">
      <c r="A103">
        <v>3</v>
      </c>
      <c r="B103">
        <f t="shared" si="14"/>
        <v>5</v>
      </c>
      <c r="C103">
        <v>2</v>
      </c>
      <c r="D103" s="7">
        <f t="shared" si="12"/>
        <v>0</v>
      </c>
    </row>
    <row r="104" spans="1:6" x14ac:dyDescent="0.35">
      <c r="A104">
        <v>3</v>
      </c>
      <c r="B104">
        <f t="shared" si="14"/>
        <v>5</v>
      </c>
      <c r="C104">
        <v>3</v>
      </c>
      <c r="D104" s="7">
        <f t="shared" si="12"/>
        <v>0</v>
      </c>
    </row>
    <row r="105" spans="1:6" x14ac:dyDescent="0.35">
      <c r="A105">
        <v>3</v>
      </c>
      <c r="B105">
        <f t="shared" si="14"/>
        <v>5</v>
      </c>
      <c r="C105">
        <v>4</v>
      </c>
      <c r="D105" s="7">
        <f t="shared" si="12"/>
        <v>0</v>
      </c>
    </row>
    <row r="106" spans="1:6" x14ac:dyDescent="0.35">
      <c r="A106">
        <v>3</v>
      </c>
      <c r="B106">
        <f t="shared" si="14"/>
        <v>5</v>
      </c>
      <c r="C106">
        <v>5</v>
      </c>
      <c r="D106" s="7">
        <f t="shared" si="12"/>
        <v>0</v>
      </c>
    </row>
    <row r="107" spans="1:6" x14ac:dyDescent="0.35">
      <c r="A107">
        <v>3</v>
      </c>
      <c r="B107">
        <f t="shared" si="14"/>
        <v>5</v>
      </c>
      <c r="C107">
        <v>6</v>
      </c>
      <c r="D107" s="7">
        <f t="shared" si="12"/>
        <v>0</v>
      </c>
    </row>
    <row r="108" spans="1:6" x14ac:dyDescent="0.35">
      <c r="A108">
        <v>3</v>
      </c>
      <c r="B108">
        <f t="shared" si="14"/>
        <v>5</v>
      </c>
      <c r="C108">
        <v>7</v>
      </c>
      <c r="D108" s="7">
        <f t="shared" si="12"/>
        <v>0</v>
      </c>
      <c r="F108" s="7"/>
    </row>
    <row r="109" spans="1:6" x14ac:dyDescent="0.35">
      <c r="A109">
        <v>4</v>
      </c>
      <c r="B109">
        <v>1</v>
      </c>
      <c r="C109">
        <v>1</v>
      </c>
      <c r="D109" s="7">
        <f t="shared" si="12"/>
        <v>0</v>
      </c>
    </row>
    <row r="110" spans="1:6" x14ac:dyDescent="0.35">
      <c r="A110">
        <v>4</v>
      </c>
      <c r="B110">
        <v>1</v>
      </c>
      <c r="C110">
        <v>2</v>
      </c>
      <c r="D110" s="7">
        <f t="shared" si="12"/>
        <v>0</v>
      </c>
    </row>
    <row r="111" spans="1:6" x14ac:dyDescent="0.35">
      <c r="A111">
        <v>4</v>
      </c>
      <c r="B111">
        <v>1</v>
      </c>
      <c r="C111">
        <v>3</v>
      </c>
      <c r="D111" s="7">
        <f t="shared" si="12"/>
        <v>0</v>
      </c>
    </row>
    <row r="112" spans="1:6" x14ac:dyDescent="0.35">
      <c r="A112">
        <v>4</v>
      </c>
      <c r="B112">
        <v>1</v>
      </c>
      <c r="C112">
        <v>4</v>
      </c>
      <c r="D112" s="7">
        <f t="shared" si="12"/>
        <v>0</v>
      </c>
    </row>
    <row r="113" spans="1:4" x14ac:dyDescent="0.35">
      <c r="A113">
        <v>4</v>
      </c>
      <c r="B113">
        <v>1</v>
      </c>
      <c r="C113">
        <v>5</v>
      </c>
      <c r="D113" s="7">
        <f t="shared" si="12"/>
        <v>0</v>
      </c>
    </row>
    <row r="114" spans="1:4" x14ac:dyDescent="0.35">
      <c r="A114">
        <v>4</v>
      </c>
      <c r="B114">
        <v>1</v>
      </c>
      <c r="C114">
        <v>6</v>
      </c>
      <c r="D114" s="7">
        <f t="shared" si="12"/>
        <v>0</v>
      </c>
    </row>
    <row r="115" spans="1:4" x14ac:dyDescent="0.35">
      <c r="A115">
        <v>4</v>
      </c>
      <c r="B115">
        <v>1</v>
      </c>
      <c r="C115">
        <v>7</v>
      </c>
      <c r="D115" s="7">
        <f t="shared" si="12"/>
        <v>0</v>
      </c>
    </row>
    <row r="116" spans="1:4" x14ac:dyDescent="0.35">
      <c r="A116">
        <v>4</v>
      </c>
      <c r="B116">
        <f>B109+1</f>
        <v>2</v>
      </c>
      <c r="C116">
        <v>1</v>
      </c>
      <c r="D116" s="7">
        <f t="shared" si="12"/>
        <v>0</v>
      </c>
    </row>
    <row r="117" spans="1:4" x14ac:dyDescent="0.35">
      <c r="A117">
        <v>4</v>
      </c>
      <c r="B117">
        <f t="shared" ref="B117:B122" si="15">B110+1</f>
        <v>2</v>
      </c>
      <c r="C117">
        <v>2</v>
      </c>
      <c r="D117" s="7">
        <f t="shared" si="12"/>
        <v>0</v>
      </c>
    </row>
    <row r="118" spans="1:4" x14ac:dyDescent="0.35">
      <c r="A118">
        <v>4</v>
      </c>
      <c r="B118">
        <f t="shared" si="15"/>
        <v>2</v>
      </c>
      <c r="C118">
        <v>3</v>
      </c>
      <c r="D118" s="7">
        <f t="shared" si="12"/>
        <v>0</v>
      </c>
    </row>
    <row r="119" spans="1:4" x14ac:dyDescent="0.35">
      <c r="A119">
        <v>4</v>
      </c>
      <c r="B119">
        <f t="shared" si="15"/>
        <v>2</v>
      </c>
      <c r="C119">
        <v>4</v>
      </c>
      <c r="D119" s="7">
        <f t="shared" si="12"/>
        <v>0</v>
      </c>
    </row>
    <row r="120" spans="1:4" x14ac:dyDescent="0.35">
      <c r="A120">
        <v>4</v>
      </c>
      <c r="B120">
        <f t="shared" si="15"/>
        <v>2</v>
      </c>
      <c r="C120">
        <v>5</v>
      </c>
      <c r="D120" s="7">
        <f t="shared" si="12"/>
        <v>0</v>
      </c>
    </row>
    <row r="121" spans="1:4" x14ac:dyDescent="0.35">
      <c r="A121">
        <v>4</v>
      </c>
      <c r="B121">
        <f t="shared" si="15"/>
        <v>2</v>
      </c>
      <c r="C121">
        <v>6</v>
      </c>
      <c r="D121" s="7">
        <f t="shared" si="12"/>
        <v>0</v>
      </c>
    </row>
    <row r="122" spans="1:4" x14ac:dyDescent="0.35">
      <c r="A122">
        <v>4</v>
      </c>
      <c r="B122">
        <f t="shared" si="15"/>
        <v>2</v>
      </c>
      <c r="C122">
        <v>7</v>
      </c>
      <c r="D122" s="7">
        <f t="shared" si="12"/>
        <v>0</v>
      </c>
    </row>
    <row r="123" spans="1:4" x14ac:dyDescent="0.35">
      <c r="A123">
        <v>4</v>
      </c>
      <c r="B123">
        <f>B116+1</f>
        <v>3</v>
      </c>
      <c r="C123">
        <v>1</v>
      </c>
      <c r="D123" s="7">
        <f t="shared" si="12"/>
        <v>0</v>
      </c>
    </row>
    <row r="124" spans="1:4" x14ac:dyDescent="0.35">
      <c r="A124">
        <v>4</v>
      </c>
      <c r="B124">
        <f t="shared" ref="B124:B143" si="16">B117+1</f>
        <v>3</v>
      </c>
      <c r="C124">
        <v>2</v>
      </c>
      <c r="D124" s="7">
        <f t="shared" si="12"/>
        <v>0</v>
      </c>
    </row>
    <row r="125" spans="1:4" x14ac:dyDescent="0.35">
      <c r="A125">
        <v>4</v>
      </c>
      <c r="B125">
        <f t="shared" si="16"/>
        <v>3</v>
      </c>
      <c r="C125">
        <v>3</v>
      </c>
      <c r="D125" s="7">
        <f t="shared" si="12"/>
        <v>0</v>
      </c>
    </row>
    <row r="126" spans="1:4" x14ac:dyDescent="0.35">
      <c r="A126">
        <v>4</v>
      </c>
      <c r="B126">
        <f t="shared" si="16"/>
        <v>3</v>
      </c>
      <c r="C126">
        <v>4</v>
      </c>
      <c r="D126" s="7">
        <f t="shared" si="12"/>
        <v>0</v>
      </c>
    </row>
    <row r="127" spans="1:4" x14ac:dyDescent="0.35">
      <c r="A127">
        <v>4</v>
      </c>
      <c r="B127">
        <f t="shared" si="16"/>
        <v>3</v>
      </c>
      <c r="C127">
        <v>5</v>
      </c>
      <c r="D127" s="7">
        <f t="shared" si="12"/>
        <v>0</v>
      </c>
    </row>
    <row r="128" spans="1:4" x14ac:dyDescent="0.35">
      <c r="A128">
        <v>4</v>
      </c>
      <c r="B128">
        <f t="shared" si="16"/>
        <v>3</v>
      </c>
      <c r="C128">
        <v>6</v>
      </c>
      <c r="D128" s="7">
        <f t="shared" si="12"/>
        <v>0</v>
      </c>
    </row>
    <row r="129" spans="1:6" x14ac:dyDescent="0.35">
      <c r="A129">
        <v>4</v>
      </c>
      <c r="B129">
        <f t="shared" si="16"/>
        <v>3</v>
      </c>
      <c r="C129">
        <v>7</v>
      </c>
      <c r="D129" s="7">
        <f t="shared" si="12"/>
        <v>0</v>
      </c>
    </row>
    <row r="130" spans="1:6" x14ac:dyDescent="0.35">
      <c r="A130">
        <v>4</v>
      </c>
      <c r="B130">
        <f t="shared" si="16"/>
        <v>4</v>
      </c>
      <c r="C130">
        <v>1</v>
      </c>
      <c r="D130" s="7">
        <f t="shared" si="12"/>
        <v>0</v>
      </c>
    </row>
    <row r="131" spans="1:6" x14ac:dyDescent="0.35">
      <c r="A131">
        <v>4</v>
      </c>
      <c r="B131">
        <f t="shared" si="16"/>
        <v>4</v>
      </c>
      <c r="C131">
        <v>2</v>
      </c>
      <c r="D131" s="7">
        <f t="shared" si="12"/>
        <v>0</v>
      </c>
    </row>
    <row r="132" spans="1:6" x14ac:dyDescent="0.35">
      <c r="A132">
        <v>4</v>
      </c>
      <c r="B132">
        <f t="shared" si="16"/>
        <v>4</v>
      </c>
      <c r="C132">
        <v>3</v>
      </c>
      <c r="D132" s="7">
        <f t="shared" si="12"/>
        <v>0</v>
      </c>
    </row>
    <row r="133" spans="1:6" x14ac:dyDescent="0.35">
      <c r="A133">
        <v>4</v>
      </c>
      <c r="B133">
        <f t="shared" si="16"/>
        <v>4</v>
      </c>
      <c r="C133">
        <v>4</v>
      </c>
      <c r="D133" s="7">
        <f t="shared" si="12"/>
        <v>0</v>
      </c>
    </row>
    <row r="134" spans="1:6" x14ac:dyDescent="0.35">
      <c r="A134">
        <v>4</v>
      </c>
      <c r="B134">
        <f t="shared" si="16"/>
        <v>4</v>
      </c>
      <c r="C134">
        <v>5</v>
      </c>
      <c r="D134" s="7">
        <f t="shared" ref="D134:D157" si="17">D133*I$2</f>
        <v>0</v>
      </c>
    </row>
    <row r="135" spans="1:6" x14ac:dyDescent="0.35">
      <c r="A135">
        <v>4</v>
      </c>
      <c r="B135">
        <f t="shared" si="16"/>
        <v>4</v>
      </c>
      <c r="C135">
        <v>6</v>
      </c>
      <c r="D135" s="7">
        <f t="shared" si="17"/>
        <v>0</v>
      </c>
    </row>
    <row r="136" spans="1:6" x14ac:dyDescent="0.35">
      <c r="A136">
        <v>4</v>
      </c>
      <c r="B136">
        <f t="shared" si="16"/>
        <v>4</v>
      </c>
      <c r="C136">
        <v>7</v>
      </c>
      <c r="D136" s="7">
        <f t="shared" si="17"/>
        <v>0</v>
      </c>
    </row>
    <row r="137" spans="1:6" x14ac:dyDescent="0.35">
      <c r="A137">
        <v>4</v>
      </c>
      <c r="B137">
        <f t="shared" si="16"/>
        <v>5</v>
      </c>
      <c r="C137">
        <v>1</v>
      </c>
      <c r="D137" s="7">
        <f t="shared" si="17"/>
        <v>0</v>
      </c>
    </row>
    <row r="138" spans="1:6" x14ac:dyDescent="0.35">
      <c r="A138">
        <v>4</v>
      </c>
      <c r="B138">
        <f t="shared" si="16"/>
        <v>5</v>
      </c>
      <c r="C138">
        <v>2</v>
      </c>
      <c r="D138" s="7">
        <f t="shared" si="17"/>
        <v>0</v>
      </c>
    </row>
    <row r="139" spans="1:6" x14ac:dyDescent="0.35">
      <c r="A139">
        <v>4</v>
      </c>
      <c r="B139">
        <f t="shared" si="16"/>
        <v>5</v>
      </c>
      <c r="C139">
        <v>3</v>
      </c>
      <c r="D139" s="7">
        <f t="shared" si="17"/>
        <v>0</v>
      </c>
    </row>
    <row r="140" spans="1:6" x14ac:dyDescent="0.35">
      <c r="A140">
        <v>4</v>
      </c>
      <c r="B140">
        <f t="shared" si="16"/>
        <v>5</v>
      </c>
      <c r="C140">
        <v>4</v>
      </c>
      <c r="D140" s="7">
        <f t="shared" si="17"/>
        <v>0</v>
      </c>
    </row>
    <row r="141" spans="1:6" x14ac:dyDescent="0.35">
      <c r="A141">
        <v>4</v>
      </c>
      <c r="B141">
        <f t="shared" si="16"/>
        <v>5</v>
      </c>
      <c r="C141">
        <v>5</v>
      </c>
      <c r="D141" s="7">
        <f t="shared" si="17"/>
        <v>0</v>
      </c>
    </row>
    <row r="142" spans="1:6" x14ac:dyDescent="0.35">
      <c r="A142">
        <v>4</v>
      </c>
      <c r="B142">
        <f t="shared" si="16"/>
        <v>5</v>
      </c>
      <c r="C142">
        <v>6</v>
      </c>
      <c r="D142" s="7">
        <f t="shared" si="17"/>
        <v>0</v>
      </c>
    </row>
    <row r="143" spans="1:6" x14ac:dyDescent="0.35">
      <c r="A143">
        <v>4</v>
      </c>
      <c r="B143">
        <f t="shared" si="16"/>
        <v>5</v>
      </c>
      <c r="C143">
        <v>7</v>
      </c>
      <c r="D143" s="7">
        <f t="shared" si="17"/>
        <v>0</v>
      </c>
      <c r="F143" s="7"/>
    </row>
    <row r="144" spans="1:6" x14ac:dyDescent="0.35">
      <c r="A144">
        <v>5</v>
      </c>
      <c r="B144">
        <v>1</v>
      </c>
      <c r="C144">
        <v>1</v>
      </c>
      <c r="D144" s="7">
        <f t="shared" si="17"/>
        <v>0</v>
      </c>
    </row>
    <row r="145" spans="1:4" x14ac:dyDescent="0.35">
      <c r="A145">
        <v>5</v>
      </c>
      <c r="B145">
        <v>1</v>
      </c>
      <c r="C145">
        <v>2</v>
      </c>
      <c r="D145" s="7">
        <f t="shared" si="17"/>
        <v>0</v>
      </c>
    </row>
    <row r="146" spans="1:4" x14ac:dyDescent="0.35">
      <c r="A146">
        <v>5</v>
      </c>
      <c r="B146">
        <v>1</v>
      </c>
      <c r="C146">
        <v>3</v>
      </c>
      <c r="D146" s="7">
        <f t="shared" si="17"/>
        <v>0</v>
      </c>
    </row>
    <row r="147" spans="1:4" x14ac:dyDescent="0.35">
      <c r="A147">
        <v>5</v>
      </c>
      <c r="B147">
        <v>1</v>
      </c>
      <c r="C147">
        <v>4</v>
      </c>
      <c r="D147" s="7">
        <f t="shared" si="17"/>
        <v>0</v>
      </c>
    </row>
    <row r="148" spans="1:4" x14ac:dyDescent="0.35">
      <c r="A148">
        <v>5</v>
      </c>
      <c r="B148">
        <v>1</v>
      </c>
      <c r="C148">
        <v>5</v>
      </c>
      <c r="D148" s="7">
        <f t="shared" si="17"/>
        <v>0</v>
      </c>
    </row>
    <row r="149" spans="1:4" x14ac:dyDescent="0.35">
      <c r="A149">
        <v>5</v>
      </c>
      <c r="B149">
        <v>1</v>
      </c>
      <c r="C149">
        <v>6</v>
      </c>
      <c r="D149" s="7">
        <f t="shared" si="17"/>
        <v>0</v>
      </c>
    </row>
    <row r="150" spans="1:4" x14ac:dyDescent="0.35">
      <c r="A150">
        <v>5</v>
      </c>
      <c r="B150">
        <v>1</v>
      </c>
      <c r="C150">
        <v>7</v>
      </c>
      <c r="D150" s="7">
        <f t="shared" si="17"/>
        <v>0</v>
      </c>
    </row>
    <row r="151" spans="1:4" x14ac:dyDescent="0.35">
      <c r="A151">
        <v>5</v>
      </c>
      <c r="B151">
        <f>B144+1</f>
        <v>2</v>
      </c>
      <c r="C151">
        <v>1</v>
      </c>
      <c r="D151" s="7">
        <f t="shared" si="17"/>
        <v>0</v>
      </c>
    </row>
    <row r="152" spans="1:4" x14ac:dyDescent="0.35">
      <c r="A152">
        <v>5</v>
      </c>
      <c r="B152">
        <f t="shared" ref="B152:B178" si="18">B145+1</f>
        <v>2</v>
      </c>
      <c r="C152">
        <v>2</v>
      </c>
      <c r="D152" s="7">
        <f t="shared" si="17"/>
        <v>0</v>
      </c>
    </row>
    <row r="153" spans="1:4" x14ac:dyDescent="0.35">
      <c r="A153">
        <v>5</v>
      </c>
      <c r="B153">
        <f t="shared" si="18"/>
        <v>2</v>
      </c>
      <c r="C153">
        <v>3</v>
      </c>
      <c r="D153" s="7">
        <f t="shared" si="17"/>
        <v>0</v>
      </c>
    </row>
    <row r="154" spans="1:4" x14ac:dyDescent="0.35">
      <c r="A154">
        <v>5</v>
      </c>
      <c r="B154">
        <f t="shared" si="18"/>
        <v>2</v>
      </c>
      <c r="C154">
        <v>4</v>
      </c>
      <c r="D154" s="7">
        <f t="shared" si="17"/>
        <v>0</v>
      </c>
    </row>
    <row r="155" spans="1:4" x14ac:dyDescent="0.35">
      <c r="A155">
        <v>5</v>
      </c>
      <c r="B155">
        <f t="shared" si="18"/>
        <v>2</v>
      </c>
      <c r="C155">
        <v>5</v>
      </c>
      <c r="D155" s="7">
        <f t="shared" si="17"/>
        <v>0</v>
      </c>
    </row>
    <row r="156" spans="1:4" x14ac:dyDescent="0.35">
      <c r="A156">
        <v>5</v>
      </c>
      <c r="B156">
        <f t="shared" si="18"/>
        <v>2</v>
      </c>
      <c r="C156">
        <v>6</v>
      </c>
      <c r="D156" s="7">
        <f t="shared" si="17"/>
        <v>0</v>
      </c>
    </row>
    <row r="157" spans="1:4" x14ac:dyDescent="0.35">
      <c r="A157">
        <v>5</v>
      </c>
      <c r="B157">
        <f t="shared" si="18"/>
        <v>2</v>
      </c>
      <c r="C157">
        <v>7</v>
      </c>
      <c r="D157" s="7">
        <f t="shared" si="17"/>
        <v>0</v>
      </c>
    </row>
    <row r="158" spans="1:4" x14ac:dyDescent="0.35">
      <c r="A158">
        <v>5</v>
      </c>
      <c r="B158">
        <f t="shared" si="18"/>
        <v>3</v>
      </c>
      <c r="C158">
        <v>7</v>
      </c>
      <c r="D158" s="7">
        <f t="shared" ref="D158:D178" si="19">D157*I$2</f>
        <v>0</v>
      </c>
    </row>
    <row r="159" spans="1:4" x14ac:dyDescent="0.35">
      <c r="A159">
        <v>5</v>
      </c>
      <c r="B159">
        <f t="shared" si="18"/>
        <v>3</v>
      </c>
      <c r="C159">
        <v>7</v>
      </c>
      <c r="D159" s="7">
        <f t="shared" si="19"/>
        <v>0</v>
      </c>
    </row>
    <row r="160" spans="1:4" x14ac:dyDescent="0.35">
      <c r="A160">
        <v>5</v>
      </c>
      <c r="B160">
        <f t="shared" si="18"/>
        <v>3</v>
      </c>
      <c r="C160">
        <v>7</v>
      </c>
      <c r="D160" s="7">
        <f t="shared" si="19"/>
        <v>0</v>
      </c>
    </row>
    <row r="161" spans="1:4" x14ac:dyDescent="0.35">
      <c r="A161">
        <v>5</v>
      </c>
      <c r="B161">
        <f t="shared" si="18"/>
        <v>3</v>
      </c>
      <c r="C161">
        <v>7</v>
      </c>
      <c r="D161" s="7">
        <f t="shared" si="19"/>
        <v>0</v>
      </c>
    </row>
    <row r="162" spans="1:4" x14ac:dyDescent="0.35">
      <c r="A162">
        <v>5</v>
      </c>
      <c r="B162">
        <f t="shared" si="18"/>
        <v>3</v>
      </c>
      <c r="C162">
        <v>7</v>
      </c>
      <c r="D162" s="7">
        <f t="shared" si="19"/>
        <v>0</v>
      </c>
    </row>
    <row r="163" spans="1:4" x14ac:dyDescent="0.35">
      <c r="A163">
        <v>5</v>
      </c>
      <c r="B163">
        <f t="shared" si="18"/>
        <v>3</v>
      </c>
      <c r="C163">
        <v>7</v>
      </c>
      <c r="D163" s="7">
        <f t="shared" si="19"/>
        <v>0</v>
      </c>
    </row>
    <row r="164" spans="1:4" x14ac:dyDescent="0.35">
      <c r="A164">
        <v>5</v>
      </c>
      <c r="B164">
        <f t="shared" si="18"/>
        <v>3</v>
      </c>
      <c r="C164">
        <v>7</v>
      </c>
      <c r="D164" s="7">
        <f t="shared" si="19"/>
        <v>0</v>
      </c>
    </row>
    <row r="165" spans="1:4" x14ac:dyDescent="0.35">
      <c r="A165">
        <v>5</v>
      </c>
      <c r="B165">
        <f t="shared" si="18"/>
        <v>4</v>
      </c>
      <c r="C165">
        <v>7</v>
      </c>
      <c r="D165" s="7">
        <f t="shared" si="19"/>
        <v>0</v>
      </c>
    </row>
    <row r="166" spans="1:4" x14ac:dyDescent="0.35">
      <c r="A166">
        <v>5</v>
      </c>
      <c r="B166">
        <f t="shared" si="18"/>
        <v>4</v>
      </c>
      <c r="C166">
        <v>7</v>
      </c>
      <c r="D166" s="7">
        <f t="shared" si="19"/>
        <v>0</v>
      </c>
    </row>
    <row r="167" spans="1:4" x14ac:dyDescent="0.35">
      <c r="A167">
        <v>5</v>
      </c>
      <c r="B167">
        <f t="shared" si="18"/>
        <v>4</v>
      </c>
      <c r="C167">
        <v>7</v>
      </c>
      <c r="D167" s="7">
        <f t="shared" si="19"/>
        <v>0</v>
      </c>
    </row>
    <row r="168" spans="1:4" x14ac:dyDescent="0.35">
      <c r="A168">
        <v>5</v>
      </c>
      <c r="B168">
        <f t="shared" si="18"/>
        <v>4</v>
      </c>
      <c r="C168">
        <v>7</v>
      </c>
      <c r="D168" s="7">
        <f t="shared" si="19"/>
        <v>0</v>
      </c>
    </row>
    <row r="169" spans="1:4" x14ac:dyDescent="0.35">
      <c r="A169">
        <v>5</v>
      </c>
      <c r="B169">
        <f t="shared" si="18"/>
        <v>4</v>
      </c>
      <c r="C169">
        <v>7</v>
      </c>
      <c r="D169" s="7">
        <f t="shared" si="19"/>
        <v>0</v>
      </c>
    </row>
    <row r="170" spans="1:4" x14ac:dyDescent="0.35">
      <c r="A170">
        <v>5</v>
      </c>
      <c r="B170">
        <f t="shared" si="18"/>
        <v>4</v>
      </c>
      <c r="C170">
        <v>7</v>
      </c>
      <c r="D170" s="7">
        <f t="shared" si="19"/>
        <v>0</v>
      </c>
    </row>
    <row r="171" spans="1:4" x14ac:dyDescent="0.35">
      <c r="A171">
        <v>5</v>
      </c>
      <c r="B171">
        <f t="shared" si="18"/>
        <v>4</v>
      </c>
      <c r="C171">
        <v>7</v>
      </c>
      <c r="D171" s="7">
        <f t="shared" si="19"/>
        <v>0</v>
      </c>
    </row>
    <row r="172" spans="1:4" x14ac:dyDescent="0.35">
      <c r="A172">
        <v>5</v>
      </c>
      <c r="B172">
        <f t="shared" si="18"/>
        <v>5</v>
      </c>
      <c r="C172">
        <v>7</v>
      </c>
      <c r="D172" s="7">
        <f t="shared" si="19"/>
        <v>0</v>
      </c>
    </row>
    <row r="173" spans="1:4" x14ac:dyDescent="0.35">
      <c r="A173">
        <v>5</v>
      </c>
      <c r="B173">
        <f t="shared" si="18"/>
        <v>5</v>
      </c>
      <c r="C173">
        <v>7</v>
      </c>
      <c r="D173" s="7">
        <f t="shared" si="19"/>
        <v>0</v>
      </c>
    </row>
    <row r="174" spans="1:4" x14ac:dyDescent="0.35">
      <c r="A174">
        <v>5</v>
      </c>
      <c r="B174">
        <f t="shared" si="18"/>
        <v>5</v>
      </c>
      <c r="C174">
        <v>7</v>
      </c>
      <c r="D174" s="7">
        <f t="shared" si="19"/>
        <v>0</v>
      </c>
    </row>
    <row r="175" spans="1:4" x14ac:dyDescent="0.35">
      <c r="A175">
        <v>5</v>
      </c>
      <c r="B175">
        <f t="shared" si="18"/>
        <v>5</v>
      </c>
      <c r="C175">
        <v>7</v>
      </c>
      <c r="D175" s="7">
        <f t="shared" si="19"/>
        <v>0</v>
      </c>
    </row>
    <row r="176" spans="1:4" x14ac:dyDescent="0.35">
      <c r="A176">
        <v>5</v>
      </c>
      <c r="B176">
        <f t="shared" si="18"/>
        <v>5</v>
      </c>
      <c r="C176">
        <v>7</v>
      </c>
      <c r="D176" s="7">
        <f t="shared" si="19"/>
        <v>0</v>
      </c>
    </row>
    <row r="177" spans="1:6" x14ac:dyDescent="0.35">
      <c r="A177">
        <v>5</v>
      </c>
      <c r="B177">
        <f t="shared" si="18"/>
        <v>5</v>
      </c>
      <c r="C177">
        <v>7</v>
      </c>
      <c r="D177" s="7">
        <f t="shared" si="19"/>
        <v>0</v>
      </c>
    </row>
    <row r="178" spans="1:6" x14ac:dyDescent="0.35">
      <c r="A178">
        <v>5</v>
      </c>
      <c r="B178">
        <f t="shared" si="18"/>
        <v>5</v>
      </c>
      <c r="C178">
        <v>7</v>
      </c>
      <c r="D178" s="7">
        <f t="shared" si="19"/>
        <v>0</v>
      </c>
      <c r="F178" s="7"/>
    </row>
  </sheetData>
  <mergeCells count="1">
    <mergeCell ref="N50:O50"/>
  </mergeCells>
  <phoneticPr fontId="30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EE40-108E-462E-9EB1-A75EC4E97454}">
  <sheetPr codeName="Sheet4"/>
  <dimension ref="A1:AO54"/>
  <sheetViews>
    <sheetView workbookViewId="0">
      <selection activeCell="AG12" sqref="AG12"/>
    </sheetView>
  </sheetViews>
  <sheetFormatPr defaultRowHeight="14.5" x14ac:dyDescent="0.35"/>
  <cols>
    <col min="3" max="3" width="14.7265625" bestFit="1" customWidth="1"/>
    <col min="4" max="5" width="12.1796875" customWidth="1"/>
    <col min="6" max="6" width="12.6328125" bestFit="1" customWidth="1"/>
    <col min="7" max="7" width="12.1796875" customWidth="1"/>
    <col min="8" max="8" width="10.90625" customWidth="1"/>
    <col min="9" max="9" width="14.1796875" customWidth="1"/>
    <col min="10" max="10" width="14" hidden="1" customWidth="1"/>
    <col min="11" max="11" width="12.08984375" bestFit="1" customWidth="1"/>
    <col min="12" max="12" width="15" hidden="1" customWidth="1"/>
    <col min="13" max="13" width="2.90625" customWidth="1"/>
    <col min="14" max="14" width="9.7265625" customWidth="1"/>
    <col min="15" max="15" width="10.36328125" customWidth="1"/>
    <col min="16" max="16" width="2.453125" hidden="1" customWidth="1"/>
    <col min="17" max="17" width="27.36328125" hidden="1" customWidth="1"/>
    <col min="18" max="18" width="9.453125" hidden="1" customWidth="1"/>
    <col min="19" max="23" width="8.7265625" hidden="1" customWidth="1"/>
    <col min="24" max="24" width="28.26953125" customWidth="1"/>
    <col min="25" max="25" width="8.90625" bestFit="1" customWidth="1"/>
    <col min="26" max="26" width="14.6328125" style="7" customWidth="1"/>
    <col min="27" max="27" width="11" hidden="1" customWidth="1"/>
    <col min="28" max="29" width="15" hidden="1" customWidth="1"/>
    <col min="30" max="30" width="8.7265625" hidden="1" customWidth="1"/>
    <col min="31" max="31" width="3.453125" customWidth="1"/>
    <col min="32" max="32" width="53.26953125" customWidth="1"/>
    <col min="33" max="33" width="19.1796875" customWidth="1"/>
    <col min="35" max="35" width="10.90625" customWidth="1"/>
    <col min="36" max="36" width="11.36328125" customWidth="1"/>
    <col min="37" max="37" width="15.36328125" customWidth="1"/>
    <col min="38" max="38" width="9.08984375" customWidth="1"/>
    <col min="43" max="43" width="11.453125" customWidth="1"/>
  </cols>
  <sheetData>
    <row r="1" spans="1:38" ht="60.5" customHeight="1" x14ac:dyDescent="0.35">
      <c r="A1" s="4" t="s">
        <v>49</v>
      </c>
      <c r="B1" s="4" t="s">
        <v>127</v>
      </c>
      <c r="C1" s="10" t="s">
        <v>50</v>
      </c>
      <c r="D1" s="10" t="s">
        <v>72</v>
      </c>
      <c r="E1" s="65" t="s">
        <v>71</v>
      </c>
      <c r="F1" s="10" t="s">
        <v>73</v>
      </c>
      <c r="G1" s="65" t="s">
        <v>74</v>
      </c>
      <c r="H1" s="10" t="s">
        <v>51</v>
      </c>
      <c r="I1" s="10" t="s">
        <v>52</v>
      </c>
      <c r="J1" s="65" t="s">
        <v>53</v>
      </c>
      <c r="K1" s="65" t="s">
        <v>75</v>
      </c>
      <c r="L1" s="65"/>
      <c r="M1" s="65"/>
      <c r="N1" s="4" t="s">
        <v>54</v>
      </c>
      <c r="O1" s="4" t="s">
        <v>55</v>
      </c>
      <c r="P1" s="4"/>
      <c r="Q1" s="4" t="s">
        <v>81</v>
      </c>
      <c r="R1" s="4"/>
      <c r="S1" s="4"/>
      <c r="T1" s="4"/>
      <c r="U1" s="4"/>
      <c r="V1" s="4"/>
      <c r="X1" s="4" t="s">
        <v>80</v>
      </c>
      <c r="Y1" s="4"/>
      <c r="Z1" s="10" t="s">
        <v>61</v>
      </c>
      <c r="AA1" s="4"/>
      <c r="AB1" s="4"/>
      <c r="AC1" s="4"/>
      <c r="AD1" s="4"/>
      <c r="AE1" s="4"/>
      <c r="AF1" s="4"/>
      <c r="AG1" s="4"/>
      <c r="AJ1" s="4" t="s">
        <v>88</v>
      </c>
      <c r="AK1" s="10" t="s">
        <v>87</v>
      </c>
      <c r="AL1" s="4" t="s">
        <v>86</v>
      </c>
    </row>
    <row r="2" spans="1:38" ht="15" thickBot="1" x14ac:dyDescent="0.4">
      <c r="A2" s="4"/>
      <c r="B2" s="4"/>
      <c r="C2" s="10"/>
      <c r="D2" s="10"/>
      <c r="E2" s="65"/>
      <c r="F2" s="65"/>
      <c r="G2" s="65"/>
      <c r="H2" s="10"/>
      <c r="I2" s="10"/>
      <c r="J2" s="65"/>
      <c r="K2" s="65"/>
      <c r="L2" s="65"/>
      <c r="M2" s="65"/>
      <c r="N2" s="4"/>
      <c r="O2" s="4"/>
      <c r="P2" s="4"/>
      <c r="Q2" s="4"/>
      <c r="R2" s="4"/>
      <c r="S2" s="4"/>
      <c r="T2" s="4"/>
      <c r="U2" s="4"/>
      <c r="V2" s="4"/>
      <c r="X2" s="4"/>
      <c r="Y2" s="4"/>
      <c r="Z2" s="10"/>
      <c r="AA2" s="4"/>
      <c r="AB2" s="4"/>
      <c r="AC2" s="4"/>
      <c r="AD2" s="4"/>
      <c r="AE2" s="4"/>
      <c r="AF2" s="4"/>
      <c r="AG2" s="4"/>
      <c r="AL2" s="4"/>
    </row>
    <row r="3" spans="1:38" ht="15" thickBot="1" x14ac:dyDescent="0.4">
      <c r="A3">
        <v>2025</v>
      </c>
      <c r="B3">
        <v>64</v>
      </c>
      <c r="C3" s="85">
        <v>1400000</v>
      </c>
      <c r="D3" s="7">
        <f>C3*AG$3</f>
        <v>65800</v>
      </c>
      <c r="E3" s="68">
        <f t="shared" ref="E3:E40" si="0">D3/C3</f>
        <v>4.7E-2</v>
      </c>
      <c r="F3" s="74">
        <f>IF($E3&gt;$AG$6,$D3*0.9,IF(E3&lt;AG$5,D3*1.1,D3))</f>
        <v>65800</v>
      </c>
      <c r="G3" s="68">
        <f t="shared" ref="G3:G40" si="1">F3/C3</f>
        <v>4.7E-2</v>
      </c>
      <c r="H3" s="7">
        <f t="shared" ref="H3:H40" ca="1" si="2">C3*$O3</f>
        <v>-61502.444616452834</v>
      </c>
      <c r="I3" s="81">
        <f t="shared" ref="I3:I40" ca="1" si="3">C3-D3+H3</f>
        <v>1272697.5553835472</v>
      </c>
      <c r="J3" s="68">
        <f t="shared" ref="J3:J40" si="4">D3/C3</f>
        <v>4.7E-2</v>
      </c>
      <c r="K3" s="76" t="str">
        <f t="shared" ref="K3" si="5">IF($E3&lt;AG$5,0,IF($E3&gt;AG$6,1,""))</f>
        <v/>
      </c>
      <c r="L3" s="75"/>
      <c r="M3" s="78"/>
      <c r="N3" s="67">
        <f t="shared" ref="N3:N40" ca="1" si="6">_xlfn.NORM.INV(RAND(),AG$15,AG$16)</f>
        <v>3.5529216900212011E-2</v>
      </c>
      <c r="O3" s="67">
        <f ca="1">_xlfn.NORM.INV(RAND(),AG$18,AG$19)</f>
        <v>-4.3930317583180598E-2</v>
      </c>
      <c r="P3" s="79"/>
      <c r="Q3" s="7">
        <f>$C3</f>
        <v>1400000</v>
      </c>
      <c r="X3" s="7">
        <f>C3-Q3</f>
        <v>0</v>
      </c>
      <c r="Z3" s="7">
        <f>D3</f>
        <v>65800</v>
      </c>
      <c r="AF3" t="s">
        <v>56</v>
      </c>
      <c r="AG3" s="84">
        <v>4.7E-2</v>
      </c>
      <c r="AJ3" s="7">
        <f ca="1">portfolio_min*(1+$N3)</f>
        <v>1035529.216900212</v>
      </c>
      <c r="AK3" s="7">
        <f ca="1">I3*(1-N3)</f>
        <v>1227479.6078899556</v>
      </c>
      <c r="AL3">
        <f t="shared" ref="AL3:AL40" ca="1" si="7">IF(AK3&lt;AJ3,1,0)</f>
        <v>0</v>
      </c>
    </row>
    <row r="4" spans="1:38" x14ac:dyDescent="0.35">
      <c r="A4">
        <f>A3+1</f>
        <v>2026</v>
      </c>
      <c r="B4">
        <f>B3+1</f>
        <v>65</v>
      </c>
      <c r="C4" s="7">
        <f t="shared" ref="C4:C40" ca="1" si="8">I3</f>
        <v>1272697.5553835472</v>
      </c>
      <c r="D4" s="7">
        <f t="shared" ref="D4" si="9">F3*(1+AG$15)</f>
        <v>68103</v>
      </c>
      <c r="E4" s="68">
        <f t="shared" ca="1" si="0"/>
        <v>5.3510749440762541E-2</v>
      </c>
      <c r="F4" s="74">
        <f ca="1">IF($E4&gt;$AG$6,$D4*0.9,IF(E4&lt;AG$5,D4*1.1,D4))</f>
        <v>68103</v>
      </c>
      <c r="G4" s="68">
        <f t="shared" ca="1" si="1"/>
        <v>5.3510749440762541E-2</v>
      </c>
      <c r="H4" s="7">
        <f t="shared" ca="1" si="2"/>
        <v>48190.229991285625</v>
      </c>
      <c r="I4" s="81">
        <f t="shared" ca="1" si="3"/>
        <v>1252784.7853748328</v>
      </c>
      <c r="J4" s="68">
        <f t="shared" ca="1" si="4"/>
        <v>5.3510749440762541E-2</v>
      </c>
      <c r="K4" s="76" t="str">
        <f t="shared" ref="K4:K40" ca="1" si="10">IF($E4&lt;AG$5,0,IF($E4&gt;AG$6,1,""))</f>
        <v/>
      </c>
      <c r="L4" s="75"/>
      <c r="M4" s="78"/>
      <c r="N4" s="67">
        <f t="shared" ca="1" si="6"/>
        <v>6.6680888529183455E-2</v>
      </c>
      <c r="O4" s="67">
        <f t="shared" ref="O4:O40" ca="1" si="11">_xlfn.NORM.INV(RAND(),AG$18,AG$19)</f>
        <v>3.7864636250332664E-2</v>
      </c>
      <c r="P4" s="79"/>
      <c r="Q4" s="7">
        <f t="shared" ref="Q4:Q40" ca="1" si="12">Q3*(1+$N3)</f>
        <v>1449740.9036602967</v>
      </c>
      <c r="X4" s="7">
        <f t="shared" ref="X4:X40" ca="1" si="13">I4-Q4</f>
        <v>-196956.11828546389</v>
      </c>
      <c r="Z4" s="7">
        <f t="shared" ref="Z4:Z40" ca="1" si="14">Z3*(1+$N3)</f>
        <v>68137.822472033949</v>
      </c>
      <c r="AJ4" s="7">
        <f t="shared" ref="AJ4:AJ40" ca="1" si="15">AJ3*(1+$N4)</f>
        <v>1104579.2251810476</v>
      </c>
      <c r="AK4" s="7">
        <f t="shared" ref="AK4:AK40" ca="1" si="16">I4*(1-N4)</f>
        <v>1169247.9827501967</v>
      </c>
      <c r="AL4">
        <f t="shared" ca="1" si="7"/>
        <v>0</v>
      </c>
    </row>
    <row r="5" spans="1:38" x14ac:dyDescent="0.35">
      <c r="A5">
        <f>A4+1</f>
        <v>2027</v>
      </c>
      <c r="B5">
        <f t="shared" ref="B5:B40" si="17">B4+1</f>
        <v>66</v>
      </c>
      <c r="C5" s="7">
        <f t="shared" ca="1" si="8"/>
        <v>1252784.7853748328</v>
      </c>
      <c r="D5" s="7">
        <f t="shared" ref="D5:D40" ca="1" si="18">F4*(1+AG$15)</f>
        <v>70486.604999999996</v>
      </c>
      <c r="E5" s="68">
        <f t="shared" ca="1" si="0"/>
        <v>5.6263937607536021E-2</v>
      </c>
      <c r="F5" s="74">
        <f t="shared" ref="F5:F40" ca="1" si="19">IF($E5&gt;$AG$6,$D5*0.9,IF(E5&lt;AG$5,D5*1.1,D5))</f>
        <v>70486.604999999996</v>
      </c>
      <c r="G5" s="68">
        <f t="shared" ca="1" si="1"/>
        <v>5.6263937607536021E-2</v>
      </c>
      <c r="H5" s="7">
        <f t="shared" ca="1" si="2"/>
        <v>97339.563912115438</v>
      </c>
      <c r="I5" s="81">
        <f t="shared" ca="1" si="3"/>
        <v>1279637.7442869483</v>
      </c>
      <c r="J5" s="68">
        <f t="shared" ca="1" si="4"/>
        <v>5.6263937607536021E-2</v>
      </c>
      <c r="K5" s="76" t="str">
        <f t="shared" ca="1" si="10"/>
        <v/>
      </c>
      <c r="L5" s="75"/>
      <c r="M5" s="78"/>
      <c r="N5" s="67">
        <f t="shared" ca="1" si="6"/>
        <v>3.3723979027370406E-2</v>
      </c>
      <c r="O5" s="67">
        <f t="shared" ca="1" si="11"/>
        <v>7.7698552096473195E-2</v>
      </c>
      <c r="P5" s="79"/>
      <c r="Q5" s="7">
        <f t="shared" ca="1" si="12"/>
        <v>1546410.9152534665</v>
      </c>
      <c r="X5" s="7">
        <f t="shared" ca="1" si="13"/>
        <v>-266773.17096651811</v>
      </c>
      <c r="Z5" s="7">
        <f t="shared" ca="1" si="14"/>
        <v>72681.313016912929</v>
      </c>
      <c r="AF5" t="s">
        <v>57</v>
      </c>
      <c r="AG5">
        <f>AG3*0.8</f>
        <v>3.7600000000000001E-2</v>
      </c>
      <c r="AJ5" s="7">
        <f t="shared" ca="1" si="15"/>
        <v>1141830.0318051223</v>
      </c>
      <c r="AK5" s="7">
        <f t="shared" ca="1" si="16"/>
        <v>1236483.2678359838</v>
      </c>
      <c r="AL5">
        <f t="shared" ca="1" si="7"/>
        <v>0</v>
      </c>
    </row>
    <row r="6" spans="1:38" x14ac:dyDescent="0.35">
      <c r="A6">
        <f t="shared" ref="A6:A40" si="20">A5+1</f>
        <v>2028</v>
      </c>
      <c r="B6">
        <f t="shared" si="17"/>
        <v>67</v>
      </c>
      <c r="C6" s="7">
        <f t="shared" ca="1" si="8"/>
        <v>1279637.7442869483</v>
      </c>
      <c r="D6" s="7">
        <f t="shared" ca="1" si="18"/>
        <v>72953.636174999992</v>
      </c>
      <c r="E6" s="68">
        <f t="shared" ca="1" si="0"/>
        <v>5.7011163120740782E-2</v>
      </c>
      <c r="F6" s="74">
        <f t="shared" ca="1" si="19"/>
        <v>65658.272557499993</v>
      </c>
      <c r="G6" s="68">
        <f t="shared" ca="1" si="1"/>
        <v>5.1310046808666701E-2</v>
      </c>
      <c r="H6" s="7">
        <f t="shared" ca="1" si="2"/>
        <v>369569.34577910672</v>
      </c>
      <c r="I6" s="81">
        <f t="shared" ca="1" si="3"/>
        <v>1576253.453891055</v>
      </c>
      <c r="J6" s="68">
        <f t="shared" ca="1" si="4"/>
        <v>5.7011163120740782E-2</v>
      </c>
      <c r="K6" s="76">
        <f t="shared" ca="1" si="10"/>
        <v>1</v>
      </c>
      <c r="L6" s="75"/>
      <c r="M6" s="78"/>
      <c r="N6" s="67">
        <f t="shared" ca="1" si="6"/>
        <v>-2.2786661220297322E-3</v>
      </c>
      <c r="O6" s="67">
        <f t="shared" ca="1" si="11"/>
        <v>0.28880778753915359</v>
      </c>
      <c r="P6" s="79"/>
      <c r="Q6" s="7">
        <f t="shared" ca="1" si="12"/>
        <v>1598562.0445271712</v>
      </c>
      <c r="X6" s="7">
        <f t="shared" ca="1" si="13"/>
        <v>-22308.59063611622</v>
      </c>
      <c r="Z6" s="7">
        <f t="shared" ca="1" si="14"/>
        <v>75132.416092777043</v>
      </c>
      <c r="AF6" t="s">
        <v>58</v>
      </c>
      <c r="AG6">
        <f>AG3*1.2</f>
        <v>5.6399999999999999E-2</v>
      </c>
      <c r="AJ6" s="7">
        <f t="shared" ca="1" si="15"/>
        <v>1139228.1823945318</v>
      </c>
      <c r="AK6" s="7">
        <f t="shared" ca="1" si="16"/>
        <v>1579845.209236169</v>
      </c>
      <c r="AL6">
        <f t="shared" ca="1" si="7"/>
        <v>0</v>
      </c>
    </row>
    <row r="7" spans="1:38" x14ac:dyDescent="0.35">
      <c r="A7">
        <f t="shared" si="20"/>
        <v>2029</v>
      </c>
      <c r="B7">
        <f t="shared" si="17"/>
        <v>68</v>
      </c>
      <c r="C7" s="7">
        <f t="shared" ca="1" si="8"/>
        <v>1576253.453891055</v>
      </c>
      <c r="D7" s="7">
        <f t="shared" ca="1" si="18"/>
        <v>67956.312097012487</v>
      </c>
      <c r="E7" s="68">
        <f t="shared" ca="1" si="0"/>
        <v>4.311255396729452E-2</v>
      </c>
      <c r="F7" s="74">
        <f t="shared" ca="1" si="19"/>
        <v>67956.312097012487</v>
      </c>
      <c r="G7" s="68">
        <f t="shared" ca="1" si="1"/>
        <v>4.311255396729452E-2</v>
      </c>
      <c r="H7" s="7">
        <f t="shared" ca="1" si="2"/>
        <v>197279.14469416154</v>
      </c>
      <c r="I7" s="81">
        <f t="shared" ca="1" si="3"/>
        <v>1705576.286488204</v>
      </c>
      <c r="J7" s="68">
        <f t="shared" ca="1" si="4"/>
        <v>4.311255396729452E-2</v>
      </c>
      <c r="K7" s="76" t="str">
        <f t="shared" ca="1" si="10"/>
        <v/>
      </c>
      <c r="L7" s="75"/>
      <c r="M7" s="78"/>
      <c r="N7" s="67">
        <f t="shared" ca="1" si="6"/>
        <v>4.9805760820663958E-2</v>
      </c>
      <c r="O7" s="67">
        <f t="shared" ca="1" si="11"/>
        <v>0.12515699439526606</v>
      </c>
      <c r="P7" s="79"/>
      <c r="Q7" s="7">
        <f t="shared" ca="1" si="12"/>
        <v>1594919.4553523446</v>
      </c>
      <c r="X7" s="7">
        <f t="shared" ca="1" si="13"/>
        <v>110656.83113585948</v>
      </c>
      <c r="Z7" s="7">
        <f t="shared" ca="1" si="14"/>
        <v>74961.214401560195</v>
      </c>
      <c r="AJ7" s="7">
        <f ca="1">AJ6*(1+$N7)</f>
        <v>1195968.3087670335</v>
      </c>
      <c r="AK7" s="7">
        <f ca="1">I7*(1-N7)</f>
        <v>1620628.7619019763</v>
      </c>
      <c r="AL7">
        <f t="shared" ca="1" si="7"/>
        <v>0</v>
      </c>
    </row>
    <row r="8" spans="1:38" x14ac:dyDescent="0.35">
      <c r="A8">
        <f t="shared" si="20"/>
        <v>2030</v>
      </c>
      <c r="B8">
        <f t="shared" si="17"/>
        <v>69</v>
      </c>
      <c r="C8" s="7">
        <f t="shared" ca="1" si="8"/>
        <v>1705576.286488204</v>
      </c>
      <c r="D8" s="7">
        <f t="shared" ca="1" si="18"/>
        <v>70334.783020407922</v>
      </c>
      <c r="E8" s="68">
        <f t="shared" ca="1" si="0"/>
        <v>4.1238133748463301E-2</v>
      </c>
      <c r="F8" s="74">
        <f ca="1">IF($E8&gt;$AG$6,$D8*0.9,IF(E8&lt;AG$5,D8*1.1,D8))</f>
        <v>70334.783020407922</v>
      </c>
      <c r="G8" s="68">
        <f t="shared" ca="1" si="1"/>
        <v>4.1238133748463301E-2</v>
      </c>
      <c r="H8" s="7">
        <f t="shared" ca="1" si="2"/>
        <v>286978.76053596899</v>
      </c>
      <c r="I8" s="81">
        <f t="shared" ca="1" si="3"/>
        <v>1922220.2640037651</v>
      </c>
      <c r="J8" s="68">
        <f t="shared" ca="1" si="4"/>
        <v>4.1238133748463301E-2</v>
      </c>
      <c r="K8" s="76" t="str">
        <f t="shared" ca="1" si="10"/>
        <v/>
      </c>
      <c r="L8" s="75"/>
      <c r="M8" s="78"/>
      <c r="N8" s="67">
        <f t="shared" ca="1" si="6"/>
        <v>5.3168606829538688E-2</v>
      </c>
      <c r="O8" s="67">
        <f ca="1">_xlfn.NORM.INV(RAND(),AG$18,AG$19)</f>
        <v>0.16825911734904608</v>
      </c>
      <c r="P8" s="79"/>
      <c r="Q8" s="7">
        <f t="shared" ca="1" si="12"/>
        <v>1674355.632273847</v>
      </c>
      <c r="X8" s="7">
        <f t="shared" ca="1" si="13"/>
        <v>247864.63172991807</v>
      </c>
      <c r="Z8" s="7">
        <f t="shared" ca="1" si="14"/>
        <v>78694.714716870803</v>
      </c>
      <c r="AJ8" s="7">
        <f t="shared" ca="1" si="15"/>
        <v>1259556.2775564564</v>
      </c>
      <c r="AK8" s="7">
        <f t="shared" ca="1" si="16"/>
        <v>1820018.4905471767</v>
      </c>
      <c r="AL8">
        <f t="shared" ca="1" si="7"/>
        <v>0</v>
      </c>
    </row>
    <row r="9" spans="1:38" x14ac:dyDescent="0.35">
      <c r="A9">
        <f t="shared" si="20"/>
        <v>2031</v>
      </c>
      <c r="B9">
        <f t="shared" si="17"/>
        <v>70</v>
      </c>
      <c r="C9" s="7">
        <f t="shared" ca="1" si="8"/>
        <v>1922220.2640037651</v>
      </c>
      <c r="D9" s="7">
        <f t="shared" ca="1" si="18"/>
        <v>72796.500426122191</v>
      </c>
      <c r="E9" s="68">
        <f t="shared" ca="1" si="0"/>
        <v>3.7871050362613179E-2</v>
      </c>
      <c r="F9" s="74">
        <f t="shared" ca="1" si="19"/>
        <v>72796.500426122191</v>
      </c>
      <c r="G9" s="68">
        <f t="shared" ca="1" si="1"/>
        <v>3.7871050362613179E-2</v>
      </c>
      <c r="H9" s="7">
        <f t="shared" ca="1" si="2"/>
        <v>40940.181140159417</v>
      </c>
      <c r="I9" s="81">
        <f t="shared" ca="1" si="3"/>
        <v>1890363.9447178023</v>
      </c>
      <c r="J9" s="68">
        <f t="shared" ca="1" si="4"/>
        <v>3.7871050362613179E-2</v>
      </c>
      <c r="K9" s="76" t="str">
        <f t="shared" ca="1" si="10"/>
        <v/>
      </c>
      <c r="L9" s="75"/>
      <c r="M9" s="78"/>
      <c r="N9" s="67">
        <f t="shared" ca="1" si="6"/>
        <v>8.391339017864638E-2</v>
      </c>
      <c r="O9" s="67">
        <f t="shared" ca="1" si="11"/>
        <v>2.1298381827941873E-2</v>
      </c>
      <c r="P9" s="79"/>
      <c r="Q9" s="7">
        <f t="shared" ca="1" si="12"/>
        <v>1763378.7885790388</v>
      </c>
      <c r="X9" s="7">
        <f t="shared" ca="1" si="13"/>
        <v>126985.15613876353</v>
      </c>
      <c r="Z9" s="7">
        <f t="shared" ca="1" si="14"/>
        <v>82878.803063214815</v>
      </c>
      <c r="AF9" t="s">
        <v>84</v>
      </c>
      <c r="AJ9" s="7">
        <f t="shared" ca="1" si="15"/>
        <v>1365249.9149270148</v>
      </c>
      <c r="AK9" s="7">
        <f t="shared" ca="1" si="16"/>
        <v>1731737.0974450521</v>
      </c>
      <c r="AL9">
        <f t="shared" ca="1" si="7"/>
        <v>0</v>
      </c>
    </row>
    <row r="10" spans="1:38" x14ac:dyDescent="0.35">
      <c r="A10">
        <f t="shared" si="20"/>
        <v>2032</v>
      </c>
      <c r="B10">
        <f t="shared" si="17"/>
        <v>71</v>
      </c>
      <c r="C10" s="7">
        <f t="shared" ca="1" si="8"/>
        <v>1890363.9447178023</v>
      </c>
      <c r="D10" s="7">
        <f t="shared" ca="1" si="18"/>
        <v>75344.377941036466</v>
      </c>
      <c r="E10" s="68">
        <f t="shared" ca="1" si="0"/>
        <v>3.9857075221715596E-2</v>
      </c>
      <c r="F10" s="74">
        <f t="shared" ca="1" si="19"/>
        <v>75344.377941036466</v>
      </c>
      <c r="G10" s="68">
        <f t="shared" ca="1" si="1"/>
        <v>3.9857075221715596E-2</v>
      </c>
      <c r="H10" s="7">
        <f t="shared" ca="1" si="2"/>
        <v>-72834.361706725773</v>
      </c>
      <c r="I10" s="81">
        <f t="shared" ca="1" si="3"/>
        <v>1742185.2050700402</v>
      </c>
      <c r="J10" s="68">
        <f t="shared" ca="1" si="4"/>
        <v>3.9857075221715596E-2</v>
      </c>
      <c r="K10" s="76" t="str">
        <f t="shared" ca="1" si="10"/>
        <v/>
      </c>
      <c r="L10" s="75"/>
      <c r="M10" s="78"/>
      <c r="N10" s="67">
        <f t="shared" ca="1" si="6"/>
        <v>2.4912086724698114E-2</v>
      </c>
      <c r="O10" s="67">
        <f t="shared" ca="1" si="11"/>
        <v>-3.8529279988779433E-2</v>
      </c>
      <c r="P10" s="79"/>
      <c r="Q10" s="7">
        <f t="shared" ca="1" si="12"/>
        <v>1911349.8808978205</v>
      </c>
      <c r="X10" s="7">
        <f t="shared" ca="1" si="13"/>
        <v>-169164.67582778027</v>
      </c>
      <c r="Z10" s="7">
        <f t="shared" ca="1" si="14"/>
        <v>89833.444402197551</v>
      </c>
      <c r="AF10" s="66"/>
      <c r="AJ10" s="7">
        <f t="shared" ca="1" si="15"/>
        <v>1399261.1392085634</v>
      </c>
      <c r="AK10" s="7">
        <f t="shared" ca="1" si="16"/>
        <v>1698783.7361508494</v>
      </c>
      <c r="AL10">
        <f t="shared" ca="1" si="7"/>
        <v>0</v>
      </c>
    </row>
    <row r="11" spans="1:38" x14ac:dyDescent="0.35">
      <c r="A11">
        <f t="shared" si="20"/>
        <v>2033</v>
      </c>
      <c r="B11">
        <f t="shared" si="17"/>
        <v>72</v>
      </c>
      <c r="C11" s="7">
        <f t="shared" ca="1" si="8"/>
        <v>1742185.2050700402</v>
      </c>
      <c r="D11" s="7">
        <f t="shared" ca="1" si="18"/>
        <v>77981.431168972733</v>
      </c>
      <c r="E11" s="68">
        <f t="shared" ca="1" si="0"/>
        <v>4.4760701067850982E-2</v>
      </c>
      <c r="F11" s="74">
        <f t="shared" ca="1" si="19"/>
        <v>77981.431168972733</v>
      </c>
      <c r="G11" s="68">
        <f t="shared" ca="1" si="1"/>
        <v>4.4760701067850982E-2</v>
      </c>
      <c r="H11" s="7">
        <f t="shared" ca="1" si="2"/>
        <v>40616.657413055902</v>
      </c>
      <c r="I11" s="81">
        <f t="shared" ca="1" si="3"/>
        <v>1704820.4313141233</v>
      </c>
      <c r="J11" s="68">
        <f t="shared" ca="1" si="4"/>
        <v>4.4760701067850982E-2</v>
      </c>
      <c r="K11" s="76" t="str">
        <f t="shared" ca="1" si="10"/>
        <v/>
      </c>
      <c r="L11" s="75"/>
      <c r="M11" s="78"/>
      <c r="N11" s="67">
        <f t="shared" ca="1" si="6"/>
        <v>2.5297499537905051E-2</v>
      </c>
      <c r="O11" s="67">
        <f t="shared" ca="1" si="11"/>
        <v>2.3313627790463878E-2</v>
      </c>
      <c r="P11" s="79"/>
      <c r="Q11" s="7">
        <f t="shared" ca="1" si="12"/>
        <v>1958965.5948919884</v>
      </c>
      <c r="X11" s="7">
        <f t="shared" ca="1" si="13"/>
        <v>-254145.16357786511</v>
      </c>
      <c r="Z11" s="7">
        <f t="shared" ca="1" si="14"/>
        <v>92071.382959923445</v>
      </c>
      <c r="AF11" s="66"/>
      <c r="AJ11" s="7">
        <f t="shared" ca="1" si="15"/>
        <v>1434658.9472311004</v>
      </c>
      <c r="AK11" s="7">
        <f t="shared" ca="1" si="16"/>
        <v>1661692.7372407431</v>
      </c>
      <c r="AL11">
        <f t="shared" ca="1" si="7"/>
        <v>0</v>
      </c>
    </row>
    <row r="12" spans="1:38" x14ac:dyDescent="0.35">
      <c r="A12">
        <f t="shared" si="20"/>
        <v>2034</v>
      </c>
      <c r="B12">
        <f t="shared" si="17"/>
        <v>73</v>
      </c>
      <c r="C12" s="7">
        <f t="shared" ca="1" si="8"/>
        <v>1704820.4313141233</v>
      </c>
      <c r="D12" s="7">
        <f t="shared" ca="1" si="18"/>
        <v>80710.781259886775</v>
      </c>
      <c r="E12" s="68">
        <f t="shared" ca="1" si="0"/>
        <v>4.7342687697420803E-2</v>
      </c>
      <c r="F12" s="74">
        <f t="shared" ca="1" si="19"/>
        <v>80710.781259886775</v>
      </c>
      <c r="G12" s="68">
        <f t="shared" ca="1" si="1"/>
        <v>4.7342687697420803E-2</v>
      </c>
      <c r="H12" s="7">
        <f t="shared" ca="1" si="2"/>
        <v>326047.21899725351</v>
      </c>
      <c r="I12" s="81">
        <f t="shared" ca="1" si="3"/>
        <v>1950156.8690514902</v>
      </c>
      <c r="J12" s="68">
        <f t="shared" ca="1" si="4"/>
        <v>4.7342687697420803E-2</v>
      </c>
      <c r="K12" s="76" t="str">
        <f t="shared" ca="1" si="10"/>
        <v/>
      </c>
      <c r="L12" s="75"/>
      <c r="M12" s="78"/>
      <c r="N12" s="67">
        <f t="shared" ca="1" si="6"/>
        <v>-1.9325813452603244E-2</v>
      </c>
      <c r="O12" s="67">
        <f t="shared" ca="1" si="11"/>
        <v>0.19125018272213407</v>
      </c>
      <c r="P12" s="79"/>
      <c r="Q12" s="7">
        <f t="shared" ca="1" si="12"/>
        <v>2008522.5261235402</v>
      </c>
      <c r="X12" s="7">
        <f t="shared" ca="1" si="13"/>
        <v>-58365.657072050031</v>
      </c>
      <c r="Z12" s="7">
        <f t="shared" ca="1" si="14"/>
        <v>94400.558727806376</v>
      </c>
      <c r="AF12" t="s">
        <v>59</v>
      </c>
      <c r="AG12" s="68">
        <f>AG6</f>
        <v>5.6399999999999999E-2</v>
      </c>
      <c r="AJ12" s="7">
        <f t="shared" ca="1" si="15"/>
        <v>1406932.9960488041</v>
      </c>
      <c r="AK12" s="7">
        <f t="shared" ca="1" si="16"/>
        <v>1987845.2369060921</v>
      </c>
      <c r="AL12">
        <f t="shared" ca="1" si="7"/>
        <v>0</v>
      </c>
    </row>
    <row r="13" spans="1:38" x14ac:dyDescent="0.35">
      <c r="A13">
        <f t="shared" si="20"/>
        <v>2035</v>
      </c>
      <c r="B13">
        <f t="shared" si="17"/>
        <v>74</v>
      </c>
      <c r="C13" s="7">
        <f t="shared" ca="1" si="8"/>
        <v>1950156.8690514902</v>
      </c>
      <c r="D13" s="7">
        <f t="shared" ca="1" si="18"/>
        <v>83535.658603982811</v>
      </c>
      <c r="E13" s="68">
        <f t="shared" ca="1" si="0"/>
        <v>4.2835353365502621E-2</v>
      </c>
      <c r="F13" s="74">
        <f t="shared" ca="1" si="19"/>
        <v>83535.658603982811</v>
      </c>
      <c r="G13" s="68">
        <f t="shared" ca="1" si="1"/>
        <v>4.2835353365502621E-2</v>
      </c>
      <c r="H13" s="7">
        <f t="shared" ca="1" si="2"/>
        <v>33256.174181627488</v>
      </c>
      <c r="I13" s="81">
        <f t="shared" ca="1" si="3"/>
        <v>1899877.384629135</v>
      </c>
      <c r="J13" s="68">
        <f t="shared" ca="1" si="4"/>
        <v>4.2835353365502621E-2</v>
      </c>
      <c r="K13" s="76" t="str">
        <f t="shared" ca="1" si="10"/>
        <v/>
      </c>
      <c r="L13" s="75"/>
      <c r="M13" s="78"/>
      <c r="N13" s="67">
        <f t="shared" ca="1" si="6"/>
        <v>-1.9150134527173214E-2</v>
      </c>
      <c r="O13" s="67">
        <f t="shared" ca="1" si="11"/>
        <v>1.7053076452153565E-2</v>
      </c>
      <c r="P13" s="79"/>
      <c r="Q13" s="7">
        <f t="shared" ca="1" si="12"/>
        <v>1969706.1944683255</v>
      </c>
      <c r="X13" s="7">
        <f t="shared" ca="1" si="13"/>
        <v>-69828.80983919045</v>
      </c>
      <c r="Z13" s="7">
        <f t="shared" ca="1" si="14"/>
        <v>92576.191140011273</v>
      </c>
      <c r="AF13" t="s">
        <v>60</v>
      </c>
      <c r="AG13" s="68">
        <f>AG5</f>
        <v>3.7600000000000001E-2</v>
      </c>
      <c r="AJ13" s="7">
        <f t="shared" ca="1" si="15"/>
        <v>1379990.0399037506</v>
      </c>
      <c r="AK13" s="7">
        <f t="shared" ca="1" si="16"/>
        <v>1936260.2921299168</v>
      </c>
      <c r="AL13">
        <f t="shared" ca="1" si="7"/>
        <v>0</v>
      </c>
    </row>
    <row r="14" spans="1:38" x14ac:dyDescent="0.35">
      <c r="A14">
        <f t="shared" si="20"/>
        <v>2036</v>
      </c>
      <c r="B14">
        <f t="shared" si="17"/>
        <v>75</v>
      </c>
      <c r="C14" s="7">
        <f t="shared" ca="1" si="8"/>
        <v>1899877.384629135</v>
      </c>
      <c r="D14" s="7">
        <f t="shared" ca="1" si="18"/>
        <v>86459.406655122206</v>
      </c>
      <c r="E14" s="68">
        <f t="shared" ca="1" si="0"/>
        <v>4.5507887695604883E-2</v>
      </c>
      <c r="F14" s="74">
        <f t="shared" ca="1" si="19"/>
        <v>86459.406655122206</v>
      </c>
      <c r="G14" s="68">
        <f t="shared" ca="1" si="1"/>
        <v>4.5507887695604883E-2</v>
      </c>
      <c r="H14" s="7">
        <f t="shared" ca="1" si="2"/>
        <v>284064.95379869873</v>
      </c>
      <c r="I14" s="81">
        <f t="shared" ca="1" si="3"/>
        <v>2097482.9317727117</v>
      </c>
      <c r="J14" s="68">
        <f t="shared" ca="1" si="4"/>
        <v>4.5507887695604883E-2</v>
      </c>
      <c r="K14" s="76" t="str">
        <f t="shared" ca="1" si="10"/>
        <v/>
      </c>
      <c r="L14" s="75"/>
      <c r="M14" s="78"/>
      <c r="N14" s="67">
        <f t="shared" ca="1" si="6"/>
        <v>4.8420871236051682E-2</v>
      </c>
      <c r="O14" s="67">
        <f t="shared" ca="1" si="11"/>
        <v>0.1495175194446296</v>
      </c>
      <c r="P14" s="79"/>
      <c r="Q14" s="7">
        <f t="shared" ca="1" si="12"/>
        <v>1931986.0558652508</v>
      </c>
      <c r="X14" s="7">
        <f t="shared" ca="1" si="13"/>
        <v>165496.87590746093</v>
      </c>
      <c r="Z14" s="7">
        <f t="shared" ca="1" si="14"/>
        <v>90803.344625666767</v>
      </c>
      <c r="AG14" s="68"/>
      <c r="AJ14" s="7">
        <f t="shared" ca="1" si="15"/>
        <v>1446810.359932964</v>
      </c>
      <c r="AK14" s="7">
        <f t="shared" ca="1" si="16"/>
        <v>1995920.9808135291</v>
      </c>
      <c r="AL14">
        <f t="shared" ca="1" si="7"/>
        <v>0</v>
      </c>
    </row>
    <row r="15" spans="1:38" x14ac:dyDescent="0.35">
      <c r="A15">
        <f t="shared" si="20"/>
        <v>2037</v>
      </c>
      <c r="B15">
        <f t="shared" si="17"/>
        <v>76</v>
      </c>
      <c r="C15" s="7">
        <f t="shared" ca="1" si="8"/>
        <v>2097482.9317727117</v>
      </c>
      <c r="D15" s="7">
        <f t="shared" ca="1" si="18"/>
        <v>89485.48588805148</v>
      </c>
      <c r="E15" s="68">
        <f t="shared" ca="1" si="0"/>
        <v>4.2663272502733454E-2</v>
      </c>
      <c r="F15" s="74">
        <f t="shared" ca="1" si="19"/>
        <v>89485.48588805148</v>
      </c>
      <c r="G15" s="68">
        <f t="shared" ca="1" si="1"/>
        <v>4.2663272502733454E-2</v>
      </c>
      <c r="H15" s="7">
        <f t="shared" ca="1" si="2"/>
        <v>29230.296648964115</v>
      </c>
      <c r="I15" s="81">
        <f t="shared" ca="1" si="3"/>
        <v>2037227.7425336242</v>
      </c>
      <c r="J15" s="68">
        <f t="shared" ca="1" si="4"/>
        <v>4.2663272502733454E-2</v>
      </c>
      <c r="K15" s="76" t="str">
        <f t="shared" ca="1" si="10"/>
        <v/>
      </c>
      <c r="L15" s="75"/>
      <c r="M15" s="78"/>
      <c r="N15" s="67">
        <f t="shared" ca="1" si="6"/>
        <v>-1.5922768957439284E-2</v>
      </c>
      <c r="O15" s="67">
        <f t="shared" ca="1" si="11"/>
        <v>1.3935892495802002E-2</v>
      </c>
      <c r="P15" s="79"/>
      <c r="Q15" s="7">
        <f t="shared" ca="1" si="12"/>
        <v>2025534.5039061494</v>
      </c>
      <c r="X15" s="7">
        <f t="shared" ca="1" si="13"/>
        <v>11693.238627474755</v>
      </c>
      <c r="Z15" s="7">
        <f t="shared" ca="1" si="14"/>
        <v>95200.121683588994</v>
      </c>
      <c r="AF15" t="s">
        <v>62</v>
      </c>
      <c r="AG15" s="68">
        <v>3.5000000000000003E-2</v>
      </c>
      <c r="AJ15" s="7">
        <f t="shared" ca="1" si="15"/>
        <v>1423773.1328465219</v>
      </c>
      <c r="AK15" s="7">
        <f t="shared" ca="1" si="16"/>
        <v>2069666.0491916726</v>
      </c>
      <c r="AL15">
        <f t="shared" ca="1" si="7"/>
        <v>0</v>
      </c>
    </row>
    <row r="16" spans="1:38" x14ac:dyDescent="0.35">
      <c r="A16">
        <f t="shared" si="20"/>
        <v>2038</v>
      </c>
      <c r="B16">
        <f t="shared" si="17"/>
        <v>77</v>
      </c>
      <c r="C16" s="7">
        <f t="shared" ca="1" si="8"/>
        <v>2037227.7425336242</v>
      </c>
      <c r="D16" s="7">
        <f t="shared" ca="1" si="18"/>
        <v>92617.477894133277</v>
      </c>
      <c r="E16" s="68">
        <f t="shared" ca="1" si="0"/>
        <v>4.5462505718162065E-2</v>
      </c>
      <c r="F16" s="74">
        <f t="shared" ca="1" si="19"/>
        <v>92617.477894133277</v>
      </c>
      <c r="G16" s="68">
        <f t="shared" ca="1" si="1"/>
        <v>4.5462505718162065E-2</v>
      </c>
      <c r="H16" s="7">
        <f t="shared" ca="1" si="2"/>
        <v>78559.25247815036</v>
      </c>
      <c r="I16" s="81">
        <f t="shared" ca="1" si="3"/>
        <v>2023169.5171176414</v>
      </c>
      <c r="J16" s="68">
        <f t="shared" ca="1" si="4"/>
        <v>4.5462505718162065E-2</v>
      </c>
      <c r="K16" s="76" t="str">
        <f t="shared" ca="1" si="10"/>
        <v/>
      </c>
      <c r="L16" s="75"/>
      <c r="M16" s="78"/>
      <c r="N16" s="67">
        <f t="shared" ca="1" si="6"/>
        <v>5.9988164206783823E-2</v>
      </c>
      <c r="O16" s="67">
        <f t="shared" ca="1" si="11"/>
        <v>3.8561841093155913E-2</v>
      </c>
      <c r="P16" s="79"/>
      <c r="Q16" s="7">
        <f t="shared" ca="1" si="12"/>
        <v>1993282.3859851304</v>
      </c>
      <c r="X16" s="7">
        <f t="shared" ca="1" si="13"/>
        <v>29887.131132510956</v>
      </c>
      <c r="Z16" s="7">
        <f t="shared" ca="1" si="14"/>
        <v>93684.272141301102</v>
      </c>
      <c r="AF16" t="s">
        <v>63</v>
      </c>
      <c r="AG16" s="68">
        <v>2.9000000000000001E-2</v>
      </c>
      <c r="AJ16" s="7">
        <f t="shared" ca="1" si="15"/>
        <v>1509182.6693329262</v>
      </c>
      <c r="AK16" s="7">
        <f t="shared" ca="1" si="16"/>
        <v>1901803.2919066288</v>
      </c>
      <c r="AL16">
        <f t="shared" ca="1" si="7"/>
        <v>0</v>
      </c>
    </row>
    <row r="17" spans="1:38" x14ac:dyDescent="0.35">
      <c r="A17">
        <f t="shared" si="20"/>
        <v>2039</v>
      </c>
      <c r="B17">
        <f t="shared" si="17"/>
        <v>78</v>
      </c>
      <c r="C17" s="7">
        <f t="shared" ca="1" si="8"/>
        <v>2023169.5171176414</v>
      </c>
      <c r="D17" s="7">
        <f t="shared" ca="1" si="18"/>
        <v>95859.089620427942</v>
      </c>
      <c r="E17" s="68">
        <f t="shared" ca="1" si="0"/>
        <v>4.7380651403346553E-2</v>
      </c>
      <c r="F17" s="74">
        <f t="shared" ca="1" si="19"/>
        <v>95859.089620427942</v>
      </c>
      <c r="G17" s="68">
        <f t="shared" ca="1" si="1"/>
        <v>4.7380651403346553E-2</v>
      </c>
      <c r="H17" s="7">
        <f t="shared" ca="1" si="2"/>
        <v>75908.685434237006</v>
      </c>
      <c r="I17" s="81">
        <f t="shared" ca="1" si="3"/>
        <v>2003219.1129314504</v>
      </c>
      <c r="J17" s="68">
        <f t="shared" ca="1" si="4"/>
        <v>4.7380651403346553E-2</v>
      </c>
      <c r="K17" s="76" t="str">
        <f t="shared" ca="1" si="10"/>
        <v/>
      </c>
      <c r="L17" s="75"/>
      <c r="M17" s="78"/>
      <c r="N17" s="67">
        <f t="shared" ca="1" si="6"/>
        <v>3.398990970694455E-2</v>
      </c>
      <c r="O17" s="67">
        <f t="shared" ca="1" si="11"/>
        <v>3.7519686211159503E-2</v>
      </c>
      <c r="P17" s="79"/>
      <c r="Q17" s="7">
        <f t="shared" ca="1" si="12"/>
        <v>2112855.7370660966</v>
      </c>
      <c r="X17" s="7">
        <f t="shared" ca="1" si="13"/>
        <v>-109636.62413464626</v>
      </c>
      <c r="Z17" s="7">
        <f t="shared" ca="1" si="14"/>
        <v>99304.219642106502</v>
      </c>
      <c r="AG17" s="68"/>
      <c r="AJ17" s="7">
        <f t="shared" ca="1" si="15"/>
        <v>1560479.6519948377</v>
      </c>
      <c r="AK17" s="7">
        <f t="shared" ca="1" si="16"/>
        <v>1935129.8761596847</v>
      </c>
      <c r="AL17">
        <f t="shared" ca="1" si="7"/>
        <v>0</v>
      </c>
    </row>
    <row r="18" spans="1:38" x14ac:dyDescent="0.35">
      <c r="A18">
        <f t="shared" si="20"/>
        <v>2040</v>
      </c>
      <c r="B18">
        <f t="shared" si="17"/>
        <v>79</v>
      </c>
      <c r="C18" s="7">
        <f t="shared" ca="1" si="8"/>
        <v>2003219.1129314504</v>
      </c>
      <c r="D18" s="7">
        <f t="shared" ca="1" si="18"/>
        <v>99214.157757142908</v>
      </c>
      <c r="E18" s="68">
        <f t="shared" ca="1" si="0"/>
        <v>4.9527361793166955E-2</v>
      </c>
      <c r="F18" s="74">
        <f t="shared" ca="1" si="19"/>
        <v>99214.157757142908</v>
      </c>
      <c r="G18" s="68">
        <f t="shared" ca="1" si="1"/>
        <v>4.9527361793166955E-2</v>
      </c>
      <c r="H18" s="7">
        <f t="shared" ca="1" si="2"/>
        <v>282825.81930490589</v>
      </c>
      <c r="I18" s="81">
        <f t="shared" ca="1" si="3"/>
        <v>2186830.7744792132</v>
      </c>
      <c r="J18" s="68">
        <f t="shared" ca="1" si="4"/>
        <v>4.9527361793166955E-2</v>
      </c>
      <c r="K18" s="76" t="str">
        <f t="shared" ca="1" si="10"/>
        <v/>
      </c>
      <c r="L18" s="75"/>
      <c r="M18" s="78"/>
      <c r="N18" s="67">
        <f t="shared" ca="1" si="6"/>
        <v>-1.9821838335100775E-2</v>
      </c>
      <c r="O18" s="67">
        <f t="shared" ca="1" si="11"/>
        <v>0.141185663355132</v>
      </c>
      <c r="P18" s="79"/>
      <c r="Q18" s="7">
        <f t="shared" ca="1" si="12"/>
        <v>2184671.5127927731</v>
      </c>
      <c r="X18" s="7">
        <f t="shared" ca="1" si="13"/>
        <v>2159.2616864400916</v>
      </c>
      <c r="Z18" s="7">
        <f t="shared" ca="1" si="14"/>
        <v>102679.56110126029</v>
      </c>
      <c r="AF18" t="s">
        <v>64</v>
      </c>
      <c r="AG18" s="68">
        <v>0.105</v>
      </c>
      <c r="AJ18" s="7">
        <f t="shared" ca="1" si="15"/>
        <v>1529548.0766077817</v>
      </c>
      <c r="AK18" s="7">
        <f t="shared" ca="1" si="16"/>
        <v>2230177.7805571635</v>
      </c>
      <c r="AL18">
        <f t="shared" ca="1" si="7"/>
        <v>0</v>
      </c>
    </row>
    <row r="19" spans="1:38" x14ac:dyDescent="0.35">
      <c r="A19">
        <f t="shared" si="20"/>
        <v>2041</v>
      </c>
      <c r="B19">
        <f t="shared" si="17"/>
        <v>80</v>
      </c>
      <c r="C19" s="7">
        <f t="shared" ca="1" si="8"/>
        <v>2186830.7744792132</v>
      </c>
      <c r="D19" s="7">
        <f t="shared" ca="1" si="18"/>
        <v>102686.6532786429</v>
      </c>
      <c r="E19" s="68">
        <f t="shared" ca="1" si="0"/>
        <v>4.6956835653228543E-2</v>
      </c>
      <c r="F19" s="74">
        <f t="shared" ca="1" si="19"/>
        <v>102686.6532786429</v>
      </c>
      <c r="G19" s="68">
        <f t="shared" ca="1" si="1"/>
        <v>4.6956835653228543E-2</v>
      </c>
      <c r="H19" s="7">
        <f t="shared" ca="1" si="2"/>
        <v>245122.94876515432</v>
      </c>
      <c r="I19" s="81">
        <f t="shared" ca="1" si="3"/>
        <v>2329267.0699657248</v>
      </c>
      <c r="J19" s="68">
        <f t="shared" ca="1" si="4"/>
        <v>4.6956835653228543E-2</v>
      </c>
      <c r="K19" s="76" t="str">
        <f t="shared" ca="1" si="10"/>
        <v/>
      </c>
      <c r="L19" s="75"/>
      <c r="M19" s="78"/>
      <c r="N19" s="67">
        <f t="shared" ca="1" si="6"/>
        <v>7.8028328492026691E-3</v>
      </c>
      <c r="O19" s="67">
        <f t="shared" ca="1" si="11"/>
        <v>0.11209049718240295</v>
      </c>
      <c r="P19" s="79"/>
      <c r="Q19" s="7">
        <f t="shared" ca="1" si="12"/>
        <v>2141367.3072508946</v>
      </c>
      <c r="X19" s="7">
        <f t="shared" ca="1" si="13"/>
        <v>187899.76271483023</v>
      </c>
      <c r="Z19" s="7">
        <f t="shared" ca="1" si="14"/>
        <v>100644.26344079201</v>
      </c>
      <c r="AF19" t="s">
        <v>65</v>
      </c>
      <c r="AG19" s="68">
        <v>9.8000000000000004E-2</v>
      </c>
      <c r="AJ19" s="7">
        <f t="shared" ca="1" si="15"/>
        <v>1541482.8845843715</v>
      </c>
      <c r="AK19" s="7">
        <f t="shared" ca="1" si="16"/>
        <v>2311092.1883576303</v>
      </c>
      <c r="AL19">
        <f t="shared" ca="1" si="7"/>
        <v>0</v>
      </c>
    </row>
    <row r="20" spans="1:38" x14ac:dyDescent="0.35">
      <c r="A20">
        <f t="shared" si="20"/>
        <v>2042</v>
      </c>
      <c r="B20">
        <f t="shared" si="17"/>
        <v>81</v>
      </c>
      <c r="C20" s="7">
        <f t="shared" ca="1" si="8"/>
        <v>2329267.0699657248</v>
      </c>
      <c r="D20" s="7">
        <f t="shared" ca="1" si="18"/>
        <v>106280.68614339539</v>
      </c>
      <c r="E20" s="68">
        <f t="shared" ca="1" si="0"/>
        <v>4.5628381353864808E-2</v>
      </c>
      <c r="F20" s="74">
        <f t="shared" ca="1" si="19"/>
        <v>106280.68614339539</v>
      </c>
      <c r="G20" s="68">
        <f t="shared" ca="1" si="1"/>
        <v>4.5628381353864808E-2</v>
      </c>
      <c r="H20" s="7">
        <f t="shared" ca="1" si="2"/>
        <v>304515.14559113659</v>
      </c>
      <c r="I20" s="81">
        <f t="shared" ca="1" si="3"/>
        <v>2527501.5294134659</v>
      </c>
      <c r="J20" s="68">
        <f t="shared" ca="1" si="4"/>
        <v>4.5628381353864808E-2</v>
      </c>
      <c r="K20" s="76" t="str">
        <f t="shared" ca="1" si="10"/>
        <v/>
      </c>
      <c r="L20" s="75"/>
      <c r="M20" s="78"/>
      <c r="N20" s="67">
        <f t="shared" ca="1" si="6"/>
        <v>7.1897041222837604E-2</v>
      </c>
      <c r="O20" s="67">
        <f t="shared" ca="1" si="11"/>
        <v>0.13073431961394513</v>
      </c>
      <c r="P20" s="79"/>
      <c r="Q20" s="7">
        <f t="shared" ca="1" si="12"/>
        <v>2158076.0384181202</v>
      </c>
      <c r="X20" s="7">
        <f t="shared" ca="1" si="13"/>
        <v>369425.49099534564</v>
      </c>
      <c r="Z20" s="7">
        <f t="shared" ca="1" si="14"/>
        <v>101429.57380565163</v>
      </c>
      <c r="AJ20" s="7">
        <f t="shared" ca="1" si="15"/>
        <v>1652310.9430816327</v>
      </c>
      <c r="AK20" s="7">
        <f t="shared" ca="1" si="16"/>
        <v>2345781.6477624411</v>
      </c>
      <c r="AL20">
        <f t="shared" ca="1" si="7"/>
        <v>0</v>
      </c>
    </row>
    <row r="21" spans="1:38" x14ac:dyDescent="0.35">
      <c r="A21">
        <f t="shared" si="20"/>
        <v>2043</v>
      </c>
      <c r="B21">
        <f t="shared" si="17"/>
        <v>82</v>
      </c>
      <c r="C21" s="7">
        <f t="shared" ca="1" si="8"/>
        <v>2527501.5294134659</v>
      </c>
      <c r="D21" s="7">
        <f t="shared" ca="1" si="18"/>
        <v>110000.51015841422</v>
      </c>
      <c r="E21" s="68">
        <f t="shared" ca="1" si="0"/>
        <v>4.3521441581062477E-2</v>
      </c>
      <c r="F21" s="74">
        <f t="shared" ca="1" si="19"/>
        <v>110000.51015841422</v>
      </c>
      <c r="G21" s="68">
        <f t="shared" ca="1" si="1"/>
        <v>4.3521441581062477E-2</v>
      </c>
      <c r="H21" s="7">
        <f t="shared" ca="1" si="2"/>
        <v>179880.65100308563</v>
      </c>
      <c r="I21" s="81">
        <f t="shared" ca="1" si="3"/>
        <v>2597381.6702581374</v>
      </c>
      <c r="J21" s="68">
        <f t="shared" ca="1" si="4"/>
        <v>4.3521441581062477E-2</v>
      </c>
      <c r="K21" s="76" t="str">
        <f t="shared" ca="1" si="10"/>
        <v/>
      </c>
      <c r="L21" s="75"/>
      <c r="M21" s="78"/>
      <c r="N21" s="67">
        <f t="shared" ca="1" si="6"/>
        <v>3.160110160074002E-2</v>
      </c>
      <c r="O21" s="67">
        <f t="shared" ca="1" si="11"/>
        <v>7.1169353968631971E-2</v>
      </c>
      <c r="P21" s="79"/>
      <c r="Q21" s="7">
        <f t="shared" ca="1" si="12"/>
        <v>2313235.3203142863</v>
      </c>
      <c r="X21" s="7">
        <f t="shared" ca="1" si="13"/>
        <v>284146.34994385112</v>
      </c>
      <c r="Z21" s="7">
        <f t="shared" ca="1" si="14"/>
        <v>108722.06005477143</v>
      </c>
      <c r="AG21" s="110"/>
      <c r="AJ21" s="7">
        <f t="shared" ca="1" si="15"/>
        <v>1704525.7890699699</v>
      </c>
      <c r="AK21" s="7">
        <f t="shared" ca="1" si="16"/>
        <v>2515301.5482004103</v>
      </c>
      <c r="AL21">
        <f t="shared" ca="1" si="7"/>
        <v>0</v>
      </c>
    </row>
    <row r="22" spans="1:38" x14ac:dyDescent="0.35">
      <c r="A22">
        <f t="shared" si="20"/>
        <v>2044</v>
      </c>
      <c r="B22">
        <f t="shared" si="17"/>
        <v>83</v>
      </c>
      <c r="C22" s="7">
        <f t="shared" ca="1" si="8"/>
        <v>2597381.6702581374</v>
      </c>
      <c r="D22" s="7">
        <f t="shared" ca="1" si="18"/>
        <v>113850.52801395871</v>
      </c>
      <c r="E22" s="68">
        <f t="shared" ca="1" si="0"/>
        <v>4.3832806444131032E-2</v>
      </c>
      <c r="F22" s="74">
        <f t="shared" ca="1" si="19"/>
        <v>113850.52801395871</v>
      </c>
      <c r="G22" s="68">
        <f t="shared" ca="1" si="1"/>
        <v>4.3832806444131032E-2</v>
      </c>
      <c r="H22" s="7">
        <f t="shared" ca="1" si="2"/>
        <v>259780.62618518848</v>
      </c>
      <c r="I22" s="81">
        <f t="shared" ca="1" si="3"/>
        <v>2743311.7684293673</v>
      </c>
      <c r="J22" s="68">
        <f t="shared" ca="1" si="4"/>
        <v>4.3832806444131032E-2</v>
      </c>
      <c r="K22" s="76" t="str">
        <f t="shared" ca="1" si="10"/>
        <v/>
      </c>
      <c r="L22" s="75"/>
      <c r="M22" s="78"/>
      <c r="N22" s="67">
        <f t="shared" ca="1" si="6"/>
        <v>-8.365374284024174E-3</v>
      </c>
      <c r="O22" s="67">
        <f t="shared" ca="1" si="11"/>
        <v>0.1000163469080655</v>
      </c>
      <c r="P22" s="79"/>
      <c r="Q22" s="7">
        <f t="shared" ca="1" si="12"/>
        <v>2386336.1046979586</v>
      </c>
      <c r="X22" s="7">
        <f t="shared" ca="1" si="13"/>
        <v>356975.66373140877</v>
      </c>
      <c r="Z22" s="7">
        <f t="shared" ca="1" si="14"/>
        <v>112157.79692080402</v>
      </c>
      <c r="AF22" s="7" t="s">
        <v>67</v>
      </c>
      <c r="AG22">
        <f ca="1">IF(force_recalc,AG22+1,0)</f>
        <v>2296802</v>
      </c>
      <c r="AJ22" s="7">
        <f t="shared" ca="1" si="15"/>
        <v>1690266.7928676279</v>
      </c>
      <c r="AK22" s="7">
        <f ca="1">I22*(1-N22)</f>
        <v>2766260.5981500475</v>
      </c>
      <c r="AL22">
        <f t="shared" ca="1" si="7"/>
        <v>0</v>
      </c>
    </row>
    <row r="23" spans="1:38" x14ac:dyDescent="0.35">
      <c r="A23">
        <f t="shared" si="20"/>
        <v>2045</v>
      </c>
      <c r="B23">
        <f t="shared" si="17"/>
        <v>84</v>
      </c>
      <c r="C23" s="7">
        <f t="shared" ca="1" si="8"/>
        <v>2743311.7684293673</v>
      </c>
      <c r="D23" s="7">
        <f t="shared" ca="1" si="18"/>
        <v>117835.29649444726</v>
      </c>
      <c r="E23" s="68">
        <f t="shared" ca="1" si="0"/>
        <v>4.2953665657152668E-2</v>
      </c>
      <c r="F23" s="74">
        <f t="shared" ca="1" si="19"/>
        <v>117835.29649444726</v>
      </c>
      <c r="G23" s="68">
        <f t="shared" ca="1" si="1"/>
        <v>4.2953665657152668E-2</v>
      </c>
      <c r="H23" s="7">
        <f t="shared" ca="1" si="2"/>
        <v>-218396.67526035613</v>
      </c>
      <c r="I23" s="81">
        <f t="shared" ca="1" si="3"/>
        <v>2407079.796674564</v>
      </c>
      <c r="J23" s="68">
        <f t="shared" ca="1" si="4"/>
        <v>4.2953665657152668E-2</v>
      </c>
      <c r="K23" s="76" t="str">
        <f t="shared" ca="1" si="10"/>
        <v/>
      </c>
      <c r="L23" s="75"/>
      <c r="M23" s="78"/>
      <c r="N23" s="67">
        <f t="shared" ca="1" si="6"/>
        <v>3.0793073689095403E-2</v>
      </c>
      <c r="O23" s="67">
        <f t="shared" ca="1" si="11"/>
        <v>-7.9610592486684492E-2</v>
      </c>
      <c r="P23" s="79"/>
      <c r="Q23" s="7">
        <f t="shared" ca="1" si="12"/>
        <v>2366373.5100146797</v>
      </c>
      <c r="X23" s="7">
        <f t="shared" ca="1" si="13"/>
        <v>40706.286659884267</v>
      </c>
      <c r="Z23" s="7">
        <f t="shared" ca="1" si="14"/>
        <v>111219.55497068992</v>
      </c>
      <c r="AF23" s="7" t="s">
        <v>98</v>
      </c>
      <c r="AG23">
        <f ca="1">IF(force_recalc,IF($K$42=0,AG23+1,AG23),0)</f>
        <v>1008309</v>
      </c>
      <c r="AH23" s="67">
        <f ca="1">AG23/AG22</f>
        <v>0.43900562608357185</v>
      </c>
      <c r="AJ23" s="7">
        <f t="shared" ca="1" si="15"/>
        <v>1742315.3027746317</v>
      </c>
      <c r="AK23" s="7">
        <f t="shared" ca="1" si="16"/>
        <v>2332958.4111200315</v>
      </c>
      <c r="AL23">
        <f t="shared" ca="1" si="7"/>
        <v>0</v>
      </c>
    </row>
    <row r="24" spans="1:38" x14ac:dyDescent="0.35">
      <c r="A24">
        <f t="shared" si="20"/>
        <v>2046</v>
      </c>
      <c r="B24">
        <f t="shared" si="17"/>
        <v>85</v>
      </c>
      <c r="C24" s="7">
        <f t="shared" ca="1" si="8"/>
        <v>2407079.796674564</v>
      </c>
      <c r="D24" s="7">
        <f t="shared" ca="1" si="18"/>
        <v>121959.5318717529</v>
      </c>
      <c r="E24" s="68">
        <f t="shared" ca="1" si="0"/>
        <v>5.0667008231402542E-2</v>
      </c>
      <c r="F24" s="74">
        <f t="shared" ca="1" si="19"/>
        <v>121959.5318717529</v>
      </c>
      <c r="G24" s="68">
        <f t="shared" ca="1" si="1"/>
        <v>5.0667008231402542E-2</v>
      </c>
      <c r="H24" s="7">
        <f t="shared" ca="1" si="2"/>
        <v>270940.60989552166</v>
      </c>
      <c r="I24" s="81">
        <f t="shared" ca="1" si="3"/>
        <v>2556060.874698333</v>
      </c>
      <c r="J24" s="68">
        <f t="shared" ca="1" si="4"/>
        <v>5.0667008231402542E-2</v>
      </c>
      <c r="K24" s="76" t="str">
        <f t="shared" ca="1" si="10"/>
        <v/>
      </c>
      <c r="L24" s="75"/>
      <c r="M24" s="78"/>
      <c r="N24" s="67">
        <f t="shared" ca="1" si="6"/>
        <v>1.9326774955727932E-2</v>
      </c>
      <c r="O24" s="67">
        <f t="shared" ca="1" si="11"/>
        <v>0.11255987868363664</v>
      </c>
      <c r="P24" s="79"/>
      <c r="Q24" s="7">
        <f t="shared" ca="1" si="12"/>
        <v>2439241.4238844849</v>
      </c>
      <c r="X24" s="7">
        <f t="shared" ca="1" si="13"/>
        <v>116819.45081384806</v>
      </c>
      <c r="Z24" s="7">
        <f t="shared" ca="1" si="14"/>
        <v>114644.34692257077</v>
      </c>
      <c r="AF24" s="7" t="s">
        <v>130</v>
      </c>
      <c r="AG24" t="e">
        <f ca="1">IF(force_recalc,IF(_xlfn.SINGLE(end_portfolio_adjusted_for_inflation)&lt;portfolio_warning_adjusted_for_inflation,AG24+1,AG24),0)</f>
        <v>#NAME?</v>
      </c>
      <c r="AH24" s="67" t="e">
        <f ca="1">AG24/AG22</f>
        <v>#NAME?</v>
      </c>
      <c r="AI24" s="67"/>
      <c r="AJ24" s="7">
        <f t="shared" ca="1" si="15"/>
        <v>1775988.6385332781</v>
      </c>
      <c r="AK24" s="7">
        <f t="shared" ca="1" si="16"/>
        <v>2506660.461399897</v>
      </c>
      <c r="AL24">
        <f t="shared" ca="1" si="7"/>
        <v>0</v>
      </c>
    </row>
    <row r="25" spans="1:38" x14ac:dyDescent="0.35">
      <c r="A25">
        <f t="shared" si="20"/>
        <v>2047</v>
      </c>
      <c r="B25">
        <f t="shared" si="17"/>
        <v>86</v>
      </c>
      <c r="C25" s="7">
        <f t="shared" ca="1" si="8"/>
        <v>2556060.874698333</v>
      </c>
      <c r="D25" s="7">
        <f t="shared" ca="1" si="18"/>
        <v>126228.11548726424</v>
      </c>
      <c r="E25" s="68">
        <f t="shared" ca="1" si="0"/>
        <v>4.9383845563600558E-2</v>
      </c>
      <c r="F25" s="74">
        <f t="shared" ca="1" si="19"/>
        <v>126228.11548726424</v>
      </c>
      <c r="G25" s="68">
        <f t="shared" ca="1" si="1"/>
        <v>4.9383845563600558E-2</v>
      </c>
      <c r="H25" s="7">
        <f t="shared" ca="1" si="2"/>
        <v>174522.1471221846</v>
      </c>
      <c r="I25" s="81">
        <f t="shared" ca="1" si="3"/>
        <v>2604354.9063332537</v>
      </c>
      <c r="J25" s="68">
        <f t="shared" ca="1" si="4"/>
        <v>4.9383845563600558E-2</v>
      </c>
      <c r="K25" s="76" t="str">
        <f t="shared" ca="1" si="10"/>
        <v/>
      </c>
      <c r="L25" s="75"/>
      <c r="M25" s="78"/>
      <c r="N25" s="67">
        <f t="shared" ca="1" si="6"/>
        <v>4.105068603759135E-2</v>
      </c>
      <c r="O25" s="67">
        <f t="shared" ca="1" si="11"/>
        <v>6.827777415230056E-2</v>
      </c>
      <c r="P25" s="79"/>
      <c r="Q25" s="7">
        <f t="shared" ca="1" si="12"/>
        <v>2486384.0939465901</v>
      </c>
      <c r="X25" s="7">
        <f t="shared" ca="1" si="13"/>
        <v>117970.81238666363</v>
      </c>
      <c r="Z25" s="7">
        <f t="shared" ca="1" si="14"/>
        <v>116860.0524154897</v>
      </c>
      <c r="AF25" s="7" t="s">
        <v>135</v>
      </c>
      <c r="AG25" t="e">
        <f ca="1">AG22-AG24</f>
        <v>#NAME?</v>
      </c>
      <c r="AH25" s="67" t="e">
        <f ca="1">1-AH24</f>
        <v>#NAME?</v>
      </c>
      <c r="AJ25" s="7">
        <f t="shared" ca="1" si="15"/>
        <v>1848894.1905400371</v>
      </c>
      <c r="AK25" s="7">
        <f t="shared" ca="1" si="16"/>
        <v>2497444.3507429068</v>
      </c>
      <c r="AL25">
        <f t="shared" ca="1" si="7"/>
        <v>0</v>
      </c>
    </row>
    <row r="26" spans="1:38" ht="15" thickBot="1" x14ac:dyDescent="0.4">
      <c r="A26">
        <f t="shared" si="20"/>
        <v>2048</v>
      </c>
      <c r="B26">
        <f t="shared" si="17"/>
        <v>87</v>
      </c>
      <c r="C26" s="7">
        <f t="shared" ca="1" si="8"/>
        <v>2604354.9063332537</v>
      </c>
      <c r="D26" s="7">
        <f t="shared" ca="1" si="18"/>
        <v>130646.09952931847</v>
      </c>
      <c r="E26" s="68">
        <f t="shared" ca="1" si="0"/>
        <v>5.0164476128662081E-2</v>
      </c>
      <c r="F26" s="74">
        <f t="shared" ca="1" si="19"/>
        <v>130646.09952931847</v>
      </c>
      <c r="G26" s="68">
        <f t="shared" ca="1" si="1"/>
        <v>5.0164476128662081E-2</v>
      </c>
      <c r="H26" s="7">
        <f t="shared" ca="1" si="2"/>
        <v>442227.26711319457</v>
      </c>
      <c r="I26" s="81">
        <f t="shared" ca="1" si="3"/>
        <v>2915936.07391713</v>
      </c>
      <c r="J26" s="68">
        <f t="shared" ca="1" si="4"/>
        <v>5.0164476128662081E-2</v>
      </c>
      <c r="K26" s="76" t="str">
        <f t="shared" ca="1" si="10"/>
        <v/>
      </c>
      <c r="L26" s="75"/>
      <c r="M26" s="78"/>
      <c r="N26" s="67">
        <f t="shared" ca="1" si="6"/>
        <v>5.3780913451832016E-2</v>
      </c>
      <c r="O26" s="67">
        <f t="shared" ca="1" si="11"/>
        <v>0.16980299652623732</v>
      </c>
      <c r="P26" s="79"/>
      <c r="Q26" s="7">
        <f t="shared" ca="1" si="12"/>
        <v>2588451.8667560527</v>
      </c>
      <c r="X26" s="7">
        <f t="shared" ca="1" si="13"/>
        <v>327484.2071610773</v>
      </c>
      <c r="Z26" s="7">
        <f t="shared" ca="1" si="14"/>
        <v>121657.23773753445</v>
      </c>
      <c r="AF26" s="7" t="s">
        <v>91</v>
      </c>
      <c r="AG26">
        <f ca="1">IF(force_recalc,IF(num_years_below_portfolio_min&gt;0,AG26+1,AG26),0)</f>
        <v>590423</v>
      </c>
      <c r="AH26" s="67">
        <f ca="1">AG26/AG22</f>
        <v>0.25706308162392755</v>
      </c>
      <c r="AJ26" s="7">
        <f t="shared" ca="1" si="15"/>
        <v>1948329.408983066</v>
      </c>
      <c r="AK26" s="7">
        <f t="shared" ca="1" si="16"/>
        <v>2759114.3682947182</v>
      </c>
      <c r="AL26">
        <f t="shared" ca="1" si="7"/>
        <v>0</v>
      </c>
    </row>
    <row r="27" spans="1:38" ht="15" thickBot="1" x14ac:dyDescent="0.4">
      <c r="A27">
        <f t="shared" si="20"/>
        <v>2049</v>
      </c>
      <c r="B27">
        <f t="shared" si="17"/>
        <v>88</v>
      </c>
      <c r="C27" s="7">
        <f t="shared" ca="1" si="8"/>
        <v>2915936.07391713</v>
      </c>
      <c r="D27" s="7">
        <f t="shared" ca="1" si="18"/>
        <v>135218.71301284462</v>
      </c>
      <c r="E27" s="68">
        <f t="shared" ca="1" si="0"/>
        <v>4.6372317357149133E-2</v>
      </c>
      <c r="F27" s="74">
        <f t="shared" ca="1" si="19"/>
        <v>135218.71301284462</v>
      </c>
      <c r="G27" s="68">
        <f t="shared" ca="1" si="1"/>
        <v>4.6372317357149133E-2</v>
      </c>
      <c r="H27" s="7">
        <f t="shared" ca="1" si="2"/>
        <v>303767.00007434469</v>
      </c>
      <c r="I27" s="81">
        <f t="shared" ca="1" si="3"/>
        <v>3084484.3609786299</v>
      </c>
      <c r="J27" s="68">
        <f t="shared" ca="1" si="4"/>
        <v>4.6372317357149133E-2</v>
      </c>
      <c r="K27" s="76" t="str">
        <f t="shared" ca="1" si="10"/>
        <v/>
      </c>
      <c r="L27" s="75"/>
      <c r="M27" s="78"/>
      <c r="N27" s="67">
        <f t="shared" ca="1" si="6"/>
        <v>6.4508438210202204E-2</v>
      </c>
      <c r="O27" s="67">
        <f t="shared" ca="1" si="11"/>
        <v>0.10417478037036612</v>
      </c>
      <c r="P27" s="79"/>
      <c r="Q27" s="7">
        <f t="shared" ca="1" si="12"/>
        <v>2727661.1725762933</v>
      </c>
      <c r="X27" s="7">
        <f t="shared" ca="1" si="13"/>
        <v>356823.18840233656</v>
      </c>
      <c r="Z27" s="7">
        <f t="shared" ca="1" si="14"/>
        <v>128200.07511108575</v>
      </c>
      <c r="AF27" s="262" t="s">
        <v>70</v>
      </c>
      <c r="AG27" s="83">
        <f ca="1">NOW()</f>
        <v>46066.952543171297</v>
      </c>
      <c r="AJ27" s="7">
        <f t="shared" ca="1" si="15"/>
        <v>2074013.0962755696</v>
      </c>
      <c r="AK27" s="7">
        <f t="shared" ca="1" si="16"/>
        <v>2885509.0921681048</v>
      </c>
      <c r="AL27">
        <f t="shared" ca="1" si="7"/>
        <v>0</v>
      </c>
    </row>
    <row r="28" spans="1:38" x14ac:dyDescent="0.35">
      <c r="A28">
        <f t="shared" si="20"/>
        <v>2050</v>
      </c>
      <c r="B28">
        <f t="shared" si="17"/>
        <v>89</v>
      </c>
      <c r="C28" s="7">
        <f t="shared" ca="1" si="8"/>
        <v>3084484.3609786299</v>
      </c>
      <c r="D28" s="7">
        <f t="shared" ca="1" si="18"/>
        <v>139951.36796829416</v>
      </c>
      <c r="E28" s="68">
        <f t="shared" ca="1" si="0"/>
        <v>4.5372694943374939E-2</v>
      </c>
      <c r="F28" s="74">
        <f t="shared" ca="1" si="19"/>
        <v>139951.36796829416</v>
      </c>
      <c r="G28" s="68">
        <f t="shared" ca="1" si="1"/>
        <v>4.5372694943374939E-2</v>
      </c>
      <c r="H28" s="7">
        <f t="shared" ca="1" si="2"/>
        <v>348753.84134108602</v>
      </c>
      <c r="I28" s="81">
        <f t="shared" ca="1" si="3"/>
        <v>3293286.8343514218</v>
      </c>
      <c r="J28" s="68">
        <f t="shared" ca="1" si="4"/>
        <v>4.5372694943374939E-2</v>
      </c>
      <c r="K28" s="76" t="str">
        <f t="shared" ca="1" si="10"/>
        <v/>
      </c>
      <c r="L28" s="75"/>
      <c r="M28" s="78"/>
      <c r="N28" s="67">
        <f t="shared" ca="1" si="6"/>
        <v>1.9087423814958381E-2</v>
      </c>
      <c r="O28" s="67">
        <f t="shared" ca="1" si="11"/>
        <v>0.11306714527495128</v>
      </c>
      <c r="P28" s="79"/>
      <c r="Q28" s="7">
        <f t="shared" ca="1" si="12"/>
        <v>2903618.3347857986</v>
      </c>
      <c r="X28" s="7">
        <f t="shared" ca="1" si="13"/>
        <v>389668.49956562323</v>
      </c>
      <c r="Z28" s="7">
        <f t="shared" ca="1" si="14"/>
        <v>136470.0617349325</v>
      </c>
      <c r="AF28" s="262"/>
      <c r="AG28" t="s">
        <v>12</v>
      </c>
      <c r="AJ28" s="7">
        <f t="shared" ca="1" si="15"/>
        <v>2113600.6632419555</v>
      </c>
      <c r="AK28" s="7">
        <f t="shared" ca="1" si="16"/>
        <v>3230426.4727999335</v>
      </c>
      <c r="AL28">
        <f t="shared" ca="1" si="7"/>
        <v>0</v>
      </c>
    </row>
    <row r="29" spans="1:38" x14ac:dyDescent="0.35">
      <c r="A29">
        <f t="shared" si="20"/>
        <v>2051</v>
      </c>
      <c r="B29">
        <f t="shared" si="17"/>
        <v>90</v>
      </c>
      <c r="C29" s="7">
        <f t="shared" ca="1" si="8"/>
        <v>3293286.8343514218</v>
      </c>
      <c r="D29" s="7">
        <f t="shared" ca="1" si="18"/>
        <v>144849.66584718446</v>
      </c>
      <c r="E29" s="68">
        <f t="shared" ca="1" si="0"/>
        <v>4.3983313064715507E-2</v>
      </c>
      <c r="F29" s="74">
        <f t="shared" ca="1" si="19"/>
        <v>144849.66584718446</v>
      </c>
      <c r="G29" s="68">
        <f t="shared" ca="1" si="1"/>
        <v>4.3983313064715507E-2</v>
      </c>
      <c r="H29" s="7">
        <f t="shared" ca="1" si="2"/>
        <v>629368.26842794649</v>
      </c>
      <c r="I29" s="81">
        <f t="shared" ca="1" si="3"/>
        <v>3777805.4369321838</v>
      </c>
      <c r="J29" s="68">
        <f t="shared" ca="1" si="4"/>
        <v>4.3983313064715507E-2</v>
      </c>
      <c r="K29" s="76" t="str">
        <f t="shared" ca="1" si="10"/>
        <v/>
      </c>
      <c r="L29" s="75"/>
      <c r="M29" s="78"/>
      <c r="N29" s="67">
        <f t="shared" ca="1" si="6"/>
        <v>4.6433270589101155E-2</v>
      </c>
      <c r="O29" s="67">
        <f t="shared" ca="1" si="11"/>
        <v>0.19110642348646015</v>
      </c>
      <c r="P29" s="79"/>
      <c r="Q29" s="7">
        <f t="shared" ca="1" si="12"/>
        <v>2959040.9285387387</v>
      </c>
      <c r="X29" s="7">
        <f t="shared" ca="1" si="13"/>
        <v>818764.50839344505</v>
      </c>
      <c r="Z29" s="7">
        <f t="shared" ca="1" si="14"/>
        <v>139074.9236413207</v>
      </c>
      <c r="AF29" s="73"/>
      <c r="AJ29" s="7">
        <f t="shared" ca="1" si="15"/>
        <v>2211742.0547555727</v>
      </c>
      <c r="AK29" s="7">
        <f t="shared" ca="1" si="16"/>
        <v>3602389.5748461341</v>
      </c>
      <c r="AL29">
        <f t="shared" ca="1" si="7"/>
        <v>0</v>
      </c>
    </row>
    <row r="30" spans="1:38" x14ac:dyDescent="0.35">
      <c r="A30">
        <f t="shared" si="20"/>
        <v>2052</v>
      </c>
      <c r="B30">
        <f t="shared" si="17"/>
        <v>91</v>
      </c>
      <c r="C30" s="7">
        <f t="shared" ca="1" si="8"/>
        <v>3777805.4369321838</v>
      </c>
      <c r="D30" s="7">
        <f t="shared" ca="1" si="18"/>
        <v>149919.40415183592</v>
      </c>
      <c r="E30" s="68">
        <f t="shared" ca="1" si="0"/>
        <v>3.9684257607924857E-2</v>
      </c>
      <c r="F30" s="74">
        <f t="shared" ca="1" si="19"/>
        <v>149919.40415183592</v>
      </c>
      <c r="G30" s="68">
        <f t="shared" ca="1" si="1"/>
        <v>3.9684257607924857E-2</v>
      </c>
      <c r="H30" s="7">
        <f t="shared" ca="1" si="2"/>
        <v>-377697.25052866648</v>
      </c>
      <c r="I30" s="81">
        <f t="shared" ca="1" si="3"/>
        <v>3250188.7822516812</v>
      </c>
      <c r="J30" s="68">
        <f t="shared" ca="1" si="4"/>
        <v>3.9684257607924857E-2</v>
      </c>
      <c r="K30" s="76" t="str">
        <f t="shared" ca="1" si="10"/>
        <v/>
      </c>
      <c r="L30" s="75"/>
      <c r="M30" s="78"/>
      <c r="N30" s="67">
        <f t="shared" ca="1" si="6"/>
        <v>1.94669197811412E-2</v>
      </c>
      <c r="O30" s="67">
        <f t="shared" ca="1" si="11"/>
        <v>-9.9977951970808873E-2</v>
      </c>
      <c r="P30" s="79"/>
      <c r="Q30" s="7">
        <f t="shared" ca="1" si="12"/>
        <v>3096438.8766578031</v>
      </c>
      <c r="X30" s="7">
        <f t="shared" ca="1" si="13"/>
        <v>153749.90559387812</v>
      </c>
      <c r="Z30" s="7">
        <f t="shared" ca="1" si="14"/>
        <v>145532.62720291672</v>
      </c>
      <c r="AJ30" s="7">
        <f t="shared" ca="1" si="15"/>
        <v>2254797.859912076</v>
      </c>
      <c r="AK30" s="7">
        <f t="shared" ca="1" si="16"/>
        <v>3186917.6179540227</v>
      </c>
      <c r="AL30">
        <f t="shared" ca="1" si="7"/>
        <v>0</v>
      </c>
    </row>
    <row r="31" spans="1:38" x14ac:dyDescent="0.35">
      <c r="A31">
        <f t="shared" si="20"/>
        <v>2053</v>
      </c>
      <c r="B31">
        <f t="shared" si="17"/>
        <v>92</v>
      </c>
      <c r="C31" s="7">
        <f t="shared" ca="1" si="8"/>
        <v>3250188.7822516812</v>
      </c>
      <c r="D31" s="7">
        <f t="shared" ca="1" si="18"/>
        <v>155166.58329715015</v>
      </c>
      <c r="E31" s="68">
        <f t="shared" ca="1" si="0"/>
        <v>4.7740790979425234E-2</v>
      </c>
      <c r="F31" s="74">
        <f t="shared" ca="1" si="19"/>
        <v>155166.58329715015</v>
      </c>
      <c r="G31" s="68">
        <f t="shared" ca="1" si="1"/>
        <v>4.7740790979425234E-2</v>
      </c>
      <c r="H31" s="7">
        <f t="shared" ca="1" si="2"/>
        <v>-58508.623550934302</v>
      </c>
      <c r="I31" s="81">
        <f t="shared" ca="1" si="3"/>
        <v>3036513.5754035967</v>
      </c>
      <c r="J31" s="68">
        <f t="shared" ca="1" si="4"/>
        <v>4.7740790979425234E-2</v>
      </c>
      <c r="K31" s="76" t="str">
        <f t="shared" ca="1" si="10"/>
        <v/>
      </c>
      <c r="L31" s="75"/>
      <c r="M31" s="78"/>
      <c r="N31" s="67">
        <f t="shared" ca="1" si="6"/>
        <v>8.300097653522541E-3</v>
      </c>
      <c r="O31" s="67">
        <f t="shared" ca="1" si="11"/>
        <v>-1.8001607743658637E-2</v>
      </c>
      <c r="P31" s="79"/>
      <c r="Q31" s="7">
        <f t="shared" ca="1" si="12"/>
        <v>3156717.0038769078</v>
      </c>
      <c r="X31" s="7">
        <f t="shared" ca="1" si="13"/>
        <v>-120203.42847331101</v>
      </c>
      <c r="Z31" s="7">
        <f t="shared" ca="1" si="14"/>
        <v>148365.69918221462</v>
      </c>
      <c r="AF31" s="7"/>
      <c r="AJ31" s="7">
        <f t="shared" ca="1" si="15"/>
        <v>2273512.9023382999</v>
      </c>
      <c r="AK31" s="7">
        <f t="shared" ca="1" si="16"/>
        <v>3011310.2162015</v>
      </c>
      <c r="AL31">
        <f t="shared" ca="1" si="7"/>
        <v>0</v>
      </c>
    </row>
    <row r="32" spans="1:38" x14ac:dyDescent="0.35">
      <c r="A32">
        <f t="shared" si="20"/>
        <v>2054</v>
      </c>
      <c r="B32">
        <f t="shared" si="17"/>
        <v>93</v>
      </c>
      <c r="C32" s="7">
        <f t="shared" ca="1" si="8"/>
        <v>3036513.5754035967</v>
      </c>
      <c r="D32" s="7">
        <f t="shared" ca="1" si="18"/>
        <v>160597.41371255039</v>
      </c>
      <c r="E32" s="68">
        <f t="shared" ca="1" si="0"/>
        <v>5.2888752091682867E-2</v>
      </c>
      <c r="F32" s="74">
        <f t="shared" ca="1" si="19"/>
        <v>160597.41371255039</v>
      </c>
      <c r="G32" s="68">
        <f t="shared" ca="1" si="1"/>
        <v>5.2888752091682867E-2</v>
      </c>
      <c r="H32" s="7">
        <f t="shared" ca="1" si="2"/>
        <v>281903.40626187454</v>
      </c>
      <c r="I32" s="81">
        <f t="shared" ca="1" si="3"/>
        <v>3157819.5679529207</v>
      </c>
      <c r="J32" s="68">
        <f t="shared" ca="1" si="4"/>
        <v>5.2888752091682867E-2</v>
      </c>
      <c r="K32" s="76" t="str">
        <f t="shared" ca="1" si="10"/>
        <v/>
      </c>
      <c r="L32" s="75"/>
      <c r="M32" s="78"/>
      <c r="N32" s="67">
        <f t="shared" ca="1" si="6"/>
        <v>2.5942848415868434E-2</v>
      </c>
      <c r="O32" s="67">
        <f t="shared" ca="1" si="11"/>
        <v>9.2837854750708798E-2</v>
      </c>
      <c r="P32" s="79"/>
      <c r="Q32" s="7">
        <f t="shared" ca="1" si="12"/>
        <v>3182918.0632736213</v>
      </c>
      <c r="X32" s="7">
        <f t="shared" ca="1" si="13"/>
        <v>-25098.495320700575</v>
      </c>
      <c r="Z32" s="7">
        <f t="shared" ca="1" si="14"/>
        <v>149597.14897386017</v>
      </c>
      <c r="AF32" s="7"/>
      <c r="AJ32" s="7">
        <f t="shared" ca="1" si="15"/>
        <v>2332494.3029351835</v>
      </c>
      <c r="AK32" s="7">
        <f t="shared" ca="1" si="16"/>
        <v>3075896.7335768547</v>
      </c>
      <c r="AL32">
        <f t="shared" ca="1" si="7"/>
        <v>0</v>
      </c>
    </row>
    <row r="33" spans="1:41" x14ac:dyDescent="0.35">
      <c r="A33">
        <f t="shared" si="20"/>
        <v>2055</v>
      </c>
      <c r="B33">
        <f t="shared" si="17"/>
        <v>94</v>
      </c>
      <c r="C33" s="7">
        <f t="shared" ca="1" si="8"/>
        <v>3157819.5679529207</v>
      </c>
      <c r="D33" s="7">
        <f t="shared" ca="1" si="18"/>
        <v>166218.32319248965</v>
      </c>
      <c r="E33" s="68">
        <f t="shared" ca="1" si="0"/>
        <v>5.2637055289464142E-2</v>
      </c>
      <c r="F33" s="74">
        <f t="shared" ca="1" si="19"/>
        <v>166218.32319248965</v>
      </c>
      <c r="G33" s="68">
        <f t="shared" ca="1" si="1"/>
        <v>5.2637055289464142E-2</v>
      </c>
      <c r="H33" s="7">
        <f t="shared" ca="1" si="2"/>
        <v>619179.08492267178</v>
      </c>
      <c r="I33" s="81">
        <f t="shared" ca="1" si="3"/>
        <v>3610780.3296831027</v>
      </c>
      <c r="J33" s="68">
        <f t="shared" ca="1" si="4"/>
        <v>5.2637055289464142E-2</v>
      </c>
      <c r="K33" s="76" t="str">
        <f t="shared" ca="1" si="10"/>
        <v/>
      </c>
      <c r="L33" s="75"/>
      <c r="M33" s="78"/>
      <c r="N33" s="67">
        <f t="shared" ca="1" si="6"/>
        <v>4.654047580032681E-2</v>
      </c>
      <c r="O33" s="67">
        <f t="shared" ca="1" si="11"/>
        <v>0.19607804423229255</v>
      </c>
      <c r="P33" s="79"/>
      <c r="Q33" s="7">
        <f t="shared" ca="1" si="12"/>
        <v>3265492.0241092583</v>
      </c>
      <c r="X33" s="7">
        <f t="shared" ca="1" si="13"/>
        <v>345288.30557384435</v>
      </c>
      <c r="Z33" s="7">
        <f t="shared" ca="1" si="14"/>
        <v>153478.12513313509</v>
      </c>
      <c r="AJ33" s="7">
        <f t="shared" ca="1" si="15"/>
        <v>2441049.6975953383</v>
      </c>
      <c r="AK33" s="7">
        <f t="shared" ca="1" si="16"/>
        <v>3442732.8951291903</v>
      </c>
      <c r="AL33">
        <f t="shared" ca="1" si="7"/>
        <v>0</v>
      </c>
    </row>
    <row r="34" spans="1:41" s="104" customFormat="1" x14ac:dyDescent="0.35">
      <c r="A34" s="104">
        <f t="shared" si="20"/>
        <v>2056</v>
      </c>
      <c r="B34" s="104">
        <f t="shared" si="17"/>
        <v>95</v>
      </c>
      <c r="C34" s="105">
        <f t="shared" ca="1" si="8"/>
        <v>3610780.3296831027</v>
      </c>
      <c r="D34" s="105">
        <f t="shared" ca="1" si="18"/>
        <v>172035.96450422678</v>
      </c>
      <c r="E34" s="106">
        <f t="shared" ca="1" si="0"/>
        <v>4.7645092970617073E-2</v>
      </c>
      <c r="F34" s="105">
        <f t="shared" ca="1" si="19"/>
        <v>172035.96450422678</v>
      </c>
      <c r="G34" s="106">
        <f t="shared" ca="1" si="1"/>
        <v>4.7645092970617073E-2</v>
      </c>
      <c r="H34" s="105">
        <f t="shared" ca="1" si="2"/>
        <v>917108.20927172038</v>
      </c>
      <c r="I34" s="105">
        <f t="shared" ca="1" si="3"/>
        <v>4355852.5744505962</v>
      </c>
      <c r="J34" s="106">
        <f t="shared" ca="1" si="4"/>
        <v>4.7645092970617073E-2</v>
      </c>
      <c r="K34" s="107" t="str">
        <f t="shared" ca="1" si="10"/>
        <v/>
      </c>
      <c r="L34" s="78"/>
      <c r="M34" s="78"/>
      <c r="N34" s="79">
        <f t="shared" ca="1" si="6"/>
        <v>4.0339819253888479E-2</v>
      </c>
      <c r="O34" s="79">
        <f t="shared" ca="1" si="11"/>
        <v>0.25399169307876718</v>
      </c>
      <c r="P34" s="79"/>
      <c r="Q34" s="105">
        <f t="shared" ca="1" si="12"/>
        <v>3417469.5766334753</v>
      </c>
      <c r="X34" s="105">
        <f t="shared" ca="1" si="13"/>
        <v>938382.99781712098</v>
      </c>
      <c r="Z34" s="105">
        <f t="shared" ca="1" si="14"/>
        <v>160621.07010177328</v>
      </c>
      <c r="AJ34" s="105">
        <f t="shared" ca="1" si="15"/>
        <v>2539521.201186093</v>
      </c>
      <c r="AK34" s="105">
        <f t="shared" ca="1" si="16"/>
        <v>4180138.2689006743</v>
      </c>
      <c r="AL34" s="104">
        <f t="shared" ca="1" si="7"/>
        <v>0</v>
      </c>
    </row>
    <row r="35" spans="1:41" x14ac:dyDescent="0.35">
      <c r="A35">
        <f t="shared" si="20"/>
        <v>2057</v>
      </c>
      <c r="B35">
        <f t="shared" si="17"/>
        <v>96</v>
      </c>
      <c r="C35" s="7">
        <f t="shared" ca="1" si="8"/>
        <v>4355852.5744505962</v>
      </c>
      <c r="D35" s="7">
        <f t="shared" ca="1" si="18"/>
        <v>178057.22326187469</v>
      </c>
      <c r="E35" s="68">
        <f t="shared" ca="1" si="0"/>
        <v>4.0877697355111486E-2</v>
      </c>
      <c r="F35" s="74">
        <f t="shared" ca="1" si="19"/>
        <v>178057.22326187469</v>
      </c>
      <c r="G35" s="68">
        <f t="shared" ca="1" si="1"/>
        <v>4.0877697355111486E-2</v>
      </c>
      <c r="H35" s="7">
        <f t="shared" ca="1" si="2"/>
        <v>21480.857167178208</v>
      </c>
      <c r="I35" s="81">
        <f t="shared" ca="1" si="3"/>
        <v>4199276.2083558999</v>
      </c>
      <c r="J35" s="68">
        <f t="shared" ca="1" si="4"/>
        <v>4.0877697355111486E-2</v>
      </c>
      <c r="K35" s="76" t="str">
        <f t="shared" ca="1" si="10"/>
        <v/>
      </c>
      <c r="L35" s="75"/>
      <c r="M35" s="78"/>
      <c r="N35" s="67">
        <f t="shared" ca="1" si="6"/>
        <v>6.8630345960973449E-2</v>
      </c>
      <c r="O35" s="67">
        <f t="shared" ca="1" si="11"/>
        <v>4.9314931577746496E-3</v>
      </c>
      <c r="P35" s="79"/>
      <c r="Q35" s="7">
        <f t="shared" ca="1" si="12"/>
        <v>3555329.681660532</v>
      </c>
      <c r="X35" s="7">
        <f t="shared" ca="1" si="13"/>
        <v>643946.52669536788</v>
      </c>
      <c r="Z35" s="7">
        <f t="shared" ca="1" si="14"/>
        <v>167100.49503804496</v>
      </c>
      <c r="AJ35" s="7">
        <f t="shared" ca="1" si="15"/>
        <v>2713809.4197987211</v>
      </c>
      <c r="AK35" s="7">
        <f t="shared" ca="1" si="16"/>
        <v>3911078.4293907499</v>
      </c>
      <c r="AL35">
        <f t="shared" ca="1" si="7"/>
        <v>0</v>
      </c>
    </row>
    <row r="36" spans="1:41" x14ac:dyDescent="0.35">
      <c r="A36">
        <f t="shared" si="20"/>
        <v>2058</v>
      </c>
      <c r="B36">
        <f t="shared" si="17"/>
        <v>97</v>
      </c>
      <c r="C36" s="7">
        <f t="shared" ca="1" si="8"/>
        <v>4199276.2083558999</v>
      </c>
      <c r="D36" s="7">
        <f t="shared" ca="1" si="18"/>
        <v>184289.2260760403</v>
      </c>
      <c r="E36" s="68">
        <f t="shared" ca="1" si="0"/>
        <v>4.388595008571565E-2</v>
      </c>
      <c r="F36" s="74">
        <f t="shared" ca="1" si="19"/>
        <v>184289.2260760403</v>
      </c>
      <c r="G36" s="68">
        <f t="shared" ca="1" si="1"/>
        <v>4.388595008571565E-2</v>
      </c>
      <c r="H36" s="7">
        <f t="shared" ca="1" si="2"/>
        <v>240046.11524427129</v>
      </c>
      <c r="I36" s="81">
        <f t="shared" ca="1" si="3"/>
        <v>4255033.0975241307</v>
      </c>
      <c r="J36" s="68">
        <f t="shared" ca="1" si="4"/>
        <v>4.388595008571565E-2</v>
      </c>
      <c r="K36" s="76" t="str">
        <f t="shared" ca="1" si="10"/>
        <v/>
      </c>
      <c r="L36" s="75"/>
      <c r="M36" s="78"/>
      <c r="N36" s="67">
        <f t="shared" ca="1" si="6"/>
        <v>1.7535011592696013E-2</v>
      </c>
      <c r="O36" s="67">
        <f t="shared" ca="1" si="11"/>
        <v>5.7163688058103262E-2</v>
      </c>
      <c r="P36" s="79"/>
      <c r="Q36" s="7">
        <f t="shared" ca="1" si="12"/>
        <v>3799333.1877182117</v>
      </c>
      <c r="X36" s="7">
        <f t="shared" ca="1" si="13"/>
        <v>455699.90980591904</v>
      </c>
      <c r="Z36" s="7">
        <f t="shared" ca="1" si="14"/>
        <v>178568.6598227559</v>
      </c>
      <c r="AJ36" s="7">
        <f t="shared" ca="1" si="15"/>
        <v>2761396.0994352591</v>
      </c>
      <c r="AK36" s="7">
        <f t="shared" ca="1" si="16"/>
        <v>4180421.0428317399</v>
      </c>
      <c r="AL36">
        <f t="shared" ca="1" si="7"/>
        <v>0</v>
      </c>
    </row>
    <row r="37" spans="1:41" x14ac:dyDescent="0.35">
      <c r="A37">
        <f t="shared" si="20"/>
        <v>2059</v>
      </c>
      <c r="B37">
        <f t="shared" si="17"/>
        <v>98</v>
      </c>
      <c r="C37" s="7">
        <f t="shared" ca="1" si="8"/>
        <v>4255033.0975241307</v>
      </c>
      <c r="D37" s="7">
        <f t="shared" ca="1" si="18"/>
        <v>190739.34898870171</v>
      </c>
      <c r="E37" s="68">
        <f t="shared" ca="1" si="0"/>
        <v>4.4826760360497993E-2</v>
      </c>
      <c r="F37" s="74">
        <f t="shared" ca="1" si="19"/>
        <v>190739.34898870171</v>
      </c>
      <c r="G37" s="68">
        <f t="shared" ca="1" si="1"/>
        <v>4.4826760360497993E-2</v>
      </c>
      <c r="H37" s="7">
        <f t="shared" ca="1" si="2"/>
        <v>174037.29677596703</v>
      </c>
      <c r="I37" s="81">
        <f t="shared" ca="1" si="3"/>
        <v>4238331.045311396</v>
      </c>
      <c r="J37" s="68">
        <f t="shared" ca="1" si="4"/>
        <v>4.4826760360497993E-2</v>
      </c>
      <c r="K37" s="76" t="str">
        <f t="shared" ca="1" si="10"/>
        <v/>
      </c>
      <c r="L37" s="75"/>
      <c r="M37" s="78"/>
      <c r="N37" s="67">
        <f t="shared" ca="1" si="6"/>
        <v>2.7523709861234251E-2</v>
      </c>
      <c r="O37" s="67">
        <f t="shared" ca="1" si="11"/>
        <v>4.0901514227288577E-2</v>
      </c>
      <c r="P37" s="79"/>
      <c r="Q37" s="7">
        <f t="shared" ca="1" si="12"/>
        <v>3865954.5392093649</v>
      </c>
      <c r="X37" s="7">
        <f t="shared" ca="1" si="13"/>
        <v>372376.5061020311</v>
      </c>
      <c r="Z37" s="7">
        <f t="shared" ca="1" si="14"/>
        <v>181699.86334284011</v>
      </c>
      <c r="AJ37" s="7">
        <f t="shared" ca="1" si="15"/>
        <v>2837399.9644880588</v>
      </c>
      <c r="AK37" s="7">
        <f t="shared" ca="1" si="16"/>
        <v>4121676.4513243837</v>
      </c>
      <c r="AL37">
        <f t="shared" ca="1" si="7"/>
        <v>0</v>
      </c>
    </row>
    <row r="38" spans="1:41" x14ac:dyDescent="0.35">
      <c r="A38">
        <f t="shared" si="20"/>
        <v>2060</v>
      </c>
      <c r="B38">
        <f t="shared" si="17"/>
        <v>99</v>
      </c>
      <c r="C38" s="7">
        <f t="shared" ca="1" si="8"/>
        <v>4238331.045311396</v>
      </c>
      <c r="D38" s="7">
        <f t="shared" ca="1" si="18"/>
        <v>197415.22620330626</v>
      </c>
      <c r="E38" s="68">
        <f t="shared" ca="1" si="0"/>
        <v>4.6578529164609389E-2</v>
      </c>
      <c r="F38" s="74">
        <f t="shared" ca="1" si="19"/>
        <v>197415.22620330626</v>
      </c>
      <c r="G38" s="68">
        <f t="shared" ca="1" si="1"/>
        <v>4.6578529164609389E-2</v>
      </c>
      <c r="H38" s="7">
        <f t="shared" ca="1" si="2"/>
        <v>826275.29710880539</v>
      </c>
      <c r="I38" s="81">
        <f t="shared" ca="1" si="3"/>
        <v>4867191.1162168952</v>
      </c>
      <c r="J38" s="68">
        <f t="shared" ca="1" si="4"/>
        <v>4.6578529164609389E-2</v>
      </c>
      <c r="K38" s="76" t="str">
        <f t="shared" ca="1" si="10"/>
        <v/>
      </c>
      <c r="L38" s="75"/>
      <c r="M38" s="78"/>
      <c r="N38" s="67">
        <f t="shared" ca="1" si="6"/>
        <v>3.0140649398927778E-2</v>
      </c>
      <c r="O38" s="67">
        <f t="shared" ca="1" si="11"/>
        <v>0.19495298698360591</v>
      </c>
      <c r="P38" s="79"/>
      <c r="Q38" s="7">
        <f t="shared" ca="1" si="12"/>
        <v>3972359.9502832848</v>
      </c>
      <c r="X38" s="7">
        <f t="shared" ca="1" si="13"/>
        <v>894831.16593361041</v>
      </c>
      <c r="Z38" s="7">
        <f t="shared" ca="1" si="14"/>
        <v>186700.91766331435</v>
      </c>
      <c r="AJ38" s="7">
        <f t="shared" ca="1" si="15"/>
        <v>2922921.0420222236</v>
      </c>
      <c r="AK38" s="7">
        <f t="shared" ca="1" si="16"/>
        <v>4720490.8152254261</v>
      </c>
      <c r="AL38">
        <f t="shared" ca="1" si="7"/>
        <v>0</v>
      </c>
    </row>
    <row r="39" spans="1:41" x14ac:dyDescent="0.35">
      <c r="A39">
        <f t="shared" si="20"/>
        <v>2061</v>
      </c>
      <c r="B39">
        <f t="shared" si="17"/>
        <v>100</v>
      </c>
      <c r="C39" s="7">
        <f t="shared" ca="1" si="8"/>
        <v>4867191.1162168952</v>
      </c>
      <c r="D39" s="7">
        <f t="shared" ca="1" si="18"/>
        <v>204324.75912042195</v>
      </c>
      <c r="E39" s="68">
        <f t="shared" ca="1" si="0"/>
        <v>4.1980015627419362E-2</v>
      </c>
      <c r="F39" s="74">
        <f t="shared" ca="1" si="19"/>
        <v>204324.75912042195</v>
      </c>
      <c r="G39" s="68">
        <f t="shared" ca="1" si="1"/>
        <v>4.1980015627419362E-2</v>
      </c>
      <c r="H39" s="7">
        <f t="shared" ca="1" si="2"/>
        <v>-223292.0723369222</v>
      </c>
      <c r="I39" s="81">
        <f t="shared" ca="1" si="3"/>
        <v>4439574.2847595504</v>
      </c>
      <c r="J39" s="68">
        <f t="shared" ca="1" si="4"/>
        <v>4.1980015627419362E-2</v>
      </c>
      <c r="K39" s="76" t="str">
        <f t="shared" ca="1" si="10"/>
        <v/>
      </c>
      <c r="L39" s="75"/>
      <c r="M39" s="78"/>
      <c r="N39" s="67">
        <f t="shared" ca="1" si="6"/>
        <v>1.2786568405576685E-2</v>
      </c>
      <c r="O39" s="67">
        <f t="shared" ca="1" si="11"/>
        <v>-4.5876988802214871E-2</v>
      </c>
      <c r="P39" s="79"/>
      <c r="Q39" s="7">
        <f t="shared" ca="1" si="12"/>
        <v>4092089.4588311156</v>
      </c>
      <c r="X39" s="7">
        <f t="shared" ca="1" si="13"/>
        <v>347484.82592843473</v>
      </c>
      <c r="Z39" s="7">
        <f t="shared" ca="1" si="14"/>
        <v>192328.20456506239</v>
      </c>
      <c r="AJ39" s="7">
        <f t="shared" ca="1" si="15"/>
        <v>2960295.1718701404</v>
      </c>
      <c r="AK39" s="7">
        <f t="shared" ca="1" si="16"/>
        <v>4382807.3644758333</v>
      </c>
      <c r="AL39">
        <f t="shared" ca="1" si="7"/>
        <v>0</v>
      </c>
    </row>
    <row r="40" spans="1:41" x14ac:dyDescent="0.35">
      <c r="A40">
        <f t="shared" si="20"/>
        <v>2062</v>
      </c>
      <c r="B40">
        <f t="shared" si="17"/>
        <v>101</v>
      </c>
      <c r="C40" s="7">
        <f t="shared" ca="1" si="8"/>
        <v>4439574.2847595504</v>
      </c>
      <c r="D40" s="7">
        <f t="shared" ca="1" si="18"/>
        <v>211476.12568963671</v>
      </c>
      <c r="E40" s="68">
        <f t="shared" ca="1" si="0"/>
        <v>4.7634325303578147E-2</v>
      </c>
      <c r="F40" s="74">
        <f t="shared" ca="1" si="19"/>
        <v>211476.12568963671</v>
      </c>
      <c r="G40" s="68">
        <f t="shared" ca="1" si="1"/>
        <v>4.7634325303578147E-2</v>
      </c>
      <c r="H40" s="7">
        <f t="shared" ca="1" si="2"/>
        <v>1425984.7310974251</v>
      </c>
      <c r="I40" s="81">
        <f t="shared" ca="1" si="3"/>
        <v>5654082.8901673388</v>
      </c>
      <c r="J40" s="68">
        <f t="shared" ca="1" si="4"/>
        <v>4.7634325303578147E-2</v>
      </c>
      <c r="K40" s="76" t="str">
        <f t="shared" ca="1" si="10"/>
        <v/>
      </c>
      <c r="L40" s="75"/>
      <c r="M40" s="78"/>
      <c r="N40" s="67">
        <f t="shared" ca="1" si="6"/>
        <v>7.0510523347356344E-2</v>
      </c>
      <c r="O40" s="67">
        <f t="shared" ca="1" si="11"/>
        <v>0.32119852932580384</v>
      </c>
      <c r="P40" s="79"/>
      <c r="Q40" s="7">
        <f t="shared" ca="1" si="12"/>
        <v>4144413.2406181996</v>
      </c>
      <c r="X40" s="7">
        <f t="shared" ca="1" si="13"/>
        <v>1509669.6495491392</v>
      </c>
      <c r="Z40" s="7">
        <f t="shared" ca="1" si="14"/>
        <v>194787.42230905534</v>
      </c>
      <c r="AJ40" s="7">
        <f t="shared" ca="1" si="15"/>
        <v>3169027.1337013561</v>
      </c>
      <c r="AK40" s="7">
        <f t="shared" ca="1" si="16"/>
        <v>5255410.5465323068</v>
      </c>
      <c r="AL40">
        <f t="shared" ca="1" si="7"/>
        <v>0</v>
      </c>
    </row>
    <row r="41" spans="1:41" x14ac:dyDescent="0.35">
      <c r="AO41" s="3"/>
    </row>
    <row r="42" spans="1:41" ht="14.5" customHeight="1" x14ac:dyDescent="0.35">
      <c r="D42" t="s">
        <v>82</v>
      </c>
      <c r="E42" s="69">
        <f ca="1">AVERAGE(E3:E40)</f>
        <v>4.622529204019224E-2</v>
      </c>
      <c r="G42" s="69">
        <f ca="1">AVERAGE(G3:G40)</f>
        <v>4.6075262663558707E-2</v>
      </c>
      <c r="J42" s="69">
        <f ca="1">AVERAGE(J3:J40)</f>
        <v>4.622529204019224E-2</v>
      </c>
      <c r="K42" s="77">
        <f ca="1">SUM(K3:K40)</f>
        <v>1</v>
      </c>
      <c r="L42" s="69"/>
      <c r="M42" s="69"/>
      <c r="N42" s="68">
        <f ca="1">AVERAGE(N3:N40)</f>
        <v>3.1172744839800755E-2</v>
      </c>
      <c r="O42" s="68">
        <f ca="1">AVERAGE(O3:O40)</f>
        <v>8.7909251063917365E-2</v>
      </c>
      <c r="P42" s="68"/>
      <c r="AJ42" s="261" t="s">
        <v>85</v>
      </c>
      <c r="AK42" s="261"/>
      <c r="AL42">
        <f ca="1">SUM(AL3:AL40)</f>
        <v>0</v>
      </c>
    </row>
    <row r="43" spans="1:41" x14ac:dyDescent="0.35">
      <c r="D43" s="1"/>
      <c r="J43" s="69"/>
      <c r="K43" s="69"/>
      <c r="AJ43" s="4"/>
      <c r="AK43" s="4"/>
    </row>
    <row r="44" spans="1:41" x14ac:dyDescent="0.35">
      <c r="E44" s="7"/>
      <c r="J44" t="s">
        <v>83</v>
      </c>
      <c r="K44" s="77"/>
      <c r="AF44" s="71"/>
      <c r="AJ44" s="261"/>
      <c r="AK44" s="261"/>
    </row>
    <row r="45" spans="1:41" x14ac:dyDescent="0.35">
      <c r="F45" s="1" t="s">
        <v>95</v>
      </c>
      <c r="G45" t="s">
        <v>96</v>
      </c>
      <c r="H45" t="s">
        <v>175</v>
      </c>
      <c r="I45" t="s">
        <v>176</v>
      </c>
      <c r="K45" t="s">
        <v>177</v>
      </c>
      <c r="N45" t="s">
        <v>178</v>
      </c>
      <c r="X45" s="263" t="s">
        <v>131</v>
      </c>
      <c r="AF45" s="72"/>
      <c r="AJ45" s="261"/>
      <c r="AK45" s="261"/>
    </row>
    <row r="46" spans="1:41" x14ac:dyDescent="0.35">
      <c r="G46" s="68">
        <v>3.7499999999999999E-2</v>
      </c>
      <c r="H46" s="114">
        <v>98.2</v>
      </c>
      <c r="I46" s="3">
        <v>99.2</v>
      </c>
      <c r="J46" s="3"/>
      <c r="K46" s="3">
        <v>99.9</v>
      </c>
      <c r="L46" s="3"/>
      <c r="M46" s="3"/>
      <c r="N46" s="113">
        <v>100</v>
      </c>
      <c r="X46" s="263"/>
    </row>
    <row r="47" spans="1:41" ht="15" thickBot="1" x14ac:dyDescent="0.4">
      <c r="A47" s="112" t="s">
        <v>186</v>
      </c>
      <c r="B47" s="112"/>
      <c r="C47" s="112"/>
      <c r="D47" s="112"/>
      <c r="E47" s="112"/>
      <c r="G47" s="68">
        <v>0.04</v>
      </c>
      <c r="H47" s="114">
        <v>97</v>
      </c>
      <c r="I47" s="3">
        <v>99.1</v>
      </c>
      <c r="J47" s="3"/>
      <c r="K47" s="3">
        <v>99.8</v>
      </c>
      <c r="L47" s="3"/>
      <c r="M47" s="3"/>
      <c r="N47" s="113">
        <v>100</v>
      </c>
      <c r="X47" s="263"/>
      <c r="AA47" s="7"/>
      <c r="AI47" t="s">
        <v>12</v>
      </c>
    </row>
    <row r="48" spans="1:41" ht="15" thickBot="1" x14ac:dyDescent="0.4">
      <c r="G48" s="68">
        <v>4.2500000000000003E-2</v>
      </c>
      <c r="H48" s="114">
        <v>95.9</v>
      </c>
      <c r="I48" s="3">
        <v>98.5</v>
      </c>
      <c r="J48" s="3"/>
      <c r="K48" s="3">
        <v>99.8</v>
      </c>
      <c r="L48" s="3"/>
      <c r="M48" s="3"/>
      <c r="N48" s="113">
        <v>99.99</v>
      </c>
      <c r="S48" s="7"/>
      <c r="X48" s="263"/>
      <c r="Y48" s="82">
        <v>1000000</v>
      </c>
      <c r="AA48" s="7"/>
      <c r="AF48" t="s">
        <v>132</v>
      </c>
      <c r="AG48" s="7">
        <f ca="1">_xlfn.SINGLE(IF(force_recalc,IF(_xlfn.SINGLE(end_portfolio_adjusted_for_inflation)&lt;portfolio_warning_adjusted_for_inflation,end_portfolio_adjusted_for_inflation,AG48),9999999999))</f>
        <v>691858.00298642821</v>
      </c>
      <c r="AK48" s="1"/>
    </row>
    <row r="49" spans="7:14" x14ac:dyDescent="0.35">
      <c r="G49" s="68">
        <v>4.4999999999999998E-2</v>
      </c>
      <c r="H49" s="114">
        <v>95.2</v>
      </c>
      <c r="I49" s="3">
        <v>98.1</v>
      </c>
      <c r="J49" s="3"/>
      <c r="K49" s="3">
        <v>99.6</v>
      </c>
      <c r="L49" s="3"/>
      <c r="M49" s="3"/>
      <c r="N49" s="113">
        <v>99.99</v>
      </c>
    </row>
    <row r="50" spans="7:14" x14ac:dyDescent="0.35">
      <c r="G50" s="68">
        <v>4.7E-2</v>
      </c>
      <c r="H50" s="114">
        <v>93.5</v>
      </c>
      <c r="I50" s="3">
        <v>97.2</v>
      </c>
      <c r="J50" s="3"/>
      <c r="K50" s="3">
        <v>99.5</v>
      </c>
      <c r="L50" s="3"/>
      <c r="M50" s="3"/>
      <c r="N50" s="113">
        <v>99.99</v>
      </c>
    </row>
    <row r="51" spans="7:14" x14ac:dyDescent="0.35">
      <c r="G51" s="68">
        <v>4.9000000000000002E-2</v>
      </c>
      <c r="H51" s="114">
        <v>92.1</v>
      </c>
      <c r="I51" s="3">
        <v>96.8</v>
      </c>
      <c r="J51" s="3"/>
      <c r="K51" s="3">
        <v>99.2</v>
      </c>
      <c r="L51" s="3"/>
      <c r="M51" s="3"/>
      <c r="N51" s="113">
        <v>99.96</v>
      </c>
    </row>
    <row r="52" spans="7:14" x14ac:dyDescent="0.35">
      <c r="G52" s="68">
        <v>0.05</v>
      </c>
      <c r="H52" s="114">
        <v>90.8</v>
      </c>
      <c r="I52" s="3">
        <v>96.2</v>
      </c>
      <c r="J52" s="3"/>
      <c r="K52" s="3">
        <v>98.8</v>
      </c>
      <c r="L52" s="3"/>
      <c r="M52" s="3"/>
      <c r="N52" s="113">
        <v>99.95</v>
      </c>
    </row>
    <row r="53" spans="7:14" x14ac:dyDescent="0.35">
      <c r="G53" s="68">
        <v>0.06</v>
      </c>
      <c r="H53" s="114">
        <v>78.900000000000006</v>
      </c>
      <c r="I53" s="3">
        <v>87.5</v>
      </c>
      <c r="J53" s="3"/>
      <c r="K53" s="3">
        <v>95.8</v>
      </c>
      <c r="L53" s="3"/>
      <c r="M53" s="3"/>
      <c r="N53" s="3">
        <v>99.5</v>
      </c>
    </row>
    <row r="54" spans="7:14" x14ac:dyDescent="0.35">
      <c r="G54" s="68">
        <v>7.0000000000000007E-2</v>
      </c>
      <c r="H54" s="114">
        <v>57.7</v>
      </c>
      <c r="I54" s="3">
        <v>71.099999999999994</v>
      </c>
      <c r="J54" s="3"/>
      <c r="K54" s="3">
        <v>85.9</v>
      </c>
      <c r="L54" s="3"/>
      <c r="M54" s="3"/>
      <c r="N54" s="3">
        <v>97.1</v>
      </c>
    </row>
  </sheetData>
  <mergeCells count="4">
    <mergeCell ref="AF27:AF28"/>
    <mergeCell ref="AJ44:AK45"/>
    <mergeCell ref="X45:X48"/>
    <mergeCell ref="AJ42:AK42"/>
  </mergeCells>
  <conditionalFormatting sqref="E3:E40">
    <cfRule type="expression" dxfId="3" priority="6">
      <formula>$F3-$D3&lt;0</formula>
    </cfRule>
    <cfRule type="expression" dxfId="2" priority="7">
      <formula>$F3-$D3&gt;0</formula>
    </cfRule>
  </conditionalFormatting>
  <conditionalFormatting sqref="AG22">
    <cfRule type="expression" dxfId="1" priority="1">
      <formula>AG22&gt;999</formula>
    </cfRule>
  </conditionalFormatting>
  <conditionalFormatting sqref="AK3:AK40">
    <cfRule type="expression" dxfId="0" priority="2">
      <formula>$AK3-$AJ3&lt;0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imulateF9Recalcs">
                <anchor moveWithCells="1" sizeWithCells="1">
                  <from>
                    <xdr:col>32</xdr:col>
                    <xdr:colOff>127000</xdr:colOff>
                    <xdr:row>0</xdr:row>
                    <xdr:rowOff>304800</xdr:rowOff>
                  </from>
                  <to>
                    <xdr:col>32</xdr:col>
                    <xdr:colOff>1282700</xdr:colOff>
                    <xdr:row>0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socsec@65+annuity</vt:lpstr>
      <vt:lpstr>using 4.X% rule</vt:lpstr>
      <vt:lpstr>401K</vt:lpstr>
      <vt:lpstr>Guyton-Klinger_mkt_based_incrs</vt:lpstr>
      <vt:lpstr>RMD</vt:lpstr>
      <vt:lpstr>Annuity</vt:lpstr>
      <vt:lpstr>Std and Retire Deductions</vt:lpstr>
      <vt:lpstr>Tax Brackets</vt:lpstr>
      <vt:lpstr>taxes calcs</vt:lpstr>
      <vt:lpstr>guardrail_old</vt:lpstr>
      <vt:lpstr>curr_annuity_base</vt:lpstr>
      <vt:lpstr>CURRENT_401K</vt:lpstr>
      <vt:lpstr>end_portfolio_adjusted_for_inflation</vt:lpstr>
      <vt:lpstr>'Guyton-Klinger_mkt_based_incrs'!force_recalc</vt:lpstr>
      <vt:lpstr>force_recalc</vt:lpstr>
      <vt:lpstr>guarantee_annuity</vt:lpstr>
      <vt:lpstr>'Guyton-Klinger_mkt_based_incrs'!guardrail_movement_pct</vt:lpstr>
      <vt:lpstr>'using 4.X% rule'!healthcare_per_year</vt:lpstr>
      <vt:lpstr>healthcare_per_year</vt:lpstr>
      <vt:lpstr>lower_guardrail</vt:lpstr>
      <vt:lpstr>nationwide</vt:lpstr>
      <vt:lpstr>guardrail_old!num_years_below_portfolio_min</vt:lpstr>
      <vt:lpstr>'Guyton-Klinger_mkt_based_incrs'!num_years_below_portfolio_min</vt:lpstr>
      <vt:lpstr>orig_base</vt:lpstr>
      <vt:lpstr>'Guyton-Klinger_mkt_based_incrs'!portfolio_min</vt:lpstr>
      <vt:lpstr>portfolio_min</vt:lpstr>
      <vt:lpstr>'Guyton-Klinger_mkt_based_incrs'!portfolio_warning_adjusted_for_inflation</vt:lpstr>
      <vt:lpstr>portfolio_warning_adjusted_for_inflation</vt:lpstr>
      <vt:lpstr>'401K'!prev_april_3</vt:lpstr>
      <vt:lpstr>sum_of_ending_portfolio_amts</vt:lpstr>
      <vt:lpstr>'using 4.X% rule'!tax_per_year</vt:lpstr>
      <vt:lpstr>tax_per_year</vt:lpstr>
      <vt:lpstr>the_dip_1</vt:lpstr>
      <vt:lpstr>trump_inaugerated</vt:lpstr>
      <vt:lpstr>upper_guardrail</vt:lpstr>
      <vt:lpstr>withdrawal_adjust_pct</vt:lpstr>
    </vt:vector>
  </TitlesOfParts>
  <Company>ON Semiconductor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Lemm</dc:creator>
  <cp:lastModifiedBy>Bob Lemm</cp:lastModifiedBy>
  <cp:lastPrinted>2024-10-21T16:19:52Z</cp:lastPrinted>
  <dcterms:created xsi:type="dcterms:W3CDTF">2024-05-15T16:08:48Z</dcterms:created>
  <dcterms:modified xsi:type="dcterms:W3CDTF">2026-02-14T05:51:39Z</dcterms:modified>
</cp:coreProperties>
</file>